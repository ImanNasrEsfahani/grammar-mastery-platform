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a41442089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e9c3063bb2b40f9"/>
    <x:sheet xmlns:r="http://schemas.openxmlformats.org/officeDocument/2006/relationships" name="01_Lessons" sheetId="2" r:id="Rda14f3585727479b"/>
    <x:sheet xmlns:r="http://schemas.openxmlformats.org/officeDocument/2006/relationships" name="02_Subtopics" sheetId="3" r:id="R47cc444b606b4f3b"/>
    <x:sheet xmlns:r="http://schemas.openxmlformats.org/officeDocument/2006/relationships" name="03_Weights" sheetId="4" r:id="Ra1df251da2284bf4"/>
    <x:sheet xmlns:r="http://schemas.openxmlformats.org/officeDocument/2006/relationships" name="04_Targets" sheetId="5" r:id="Ra7a8d6aee41d4ee6"/>
    <x:sheet xmlns:r="http://schemas.openxmlformats.org/officeDocument/2006/relationships" name="05_Inventory" sheetId="6" r:id="R149e8ba47af24671"/>
    <x:sheet xmlns:r="http://schemas.openxmlformats.org/officeDocument/2006/relationships" name="06_Difficulty_Targets" sheetId="7" r:id="R9ed36f0a67844b7b"/>
    <x:sheet xmlns:r="http://schemas.openxmlformats.org/officeDocument/2006/relationships" name="07_Import_Template" sheetId="8" r:id="Rc2493bb3824641b5"/>
    <x:sheet xmlns:r="http://schemas.openxmlformats.org/officeDocument/2006/relationships" name="08_Audit" sheetId="9" r:id="Rb996630f572a472b"/>
    <x:sheet xmlns:r="http://schemas.openxmlformats.org/officeDocument/2006/relationships" name="99_Lookups" sheetId="10" r:id="R96e4df1ee93f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23f7f86a8480f" /><Relationship Type="http://schemas.openxmlformats.org/officeDocument/2006/relationships/theme" Target="/xl/theme/theme1.xml" Id="Rad98944b83974320" /><Relationship Type="http://schemas.openxmlformats.org/officeDocument/2006/relationships/sharedStrings" Target="/xl/sharedStrings.xml" Id="R6a3bce030f514916" /><Relationship Type="http://schemas.openxmlformats.org/officeDocument/2006/relationships/worksheet" Target="/xl/worksheets/sheet1.xml" Id="Rde9c3063bb2b40f9" /><Relationship Type="http://schemas.openxmlformats.org/officeDocument/2006/relationships/worksheet" Target="/xl/worksheets/sheet2.xml" Id="Rda14f3585727479b" /><Relationship Type="http://schemas.openxmlformats.org/officeDocument/2006/relationships/worksheet" Target="/xl/worksheets/sheet3.xml" Id="R47cc444b606b4f3b" /><Relationship Type="http://schemas.openxmlformats.org/officeDocument/2006/relationships/worksheet" Target="/xl/worksheets/sheet4.xml" Id="Ra1df251da2284bf4" /><Relationship Type="http://schemas.openxmlformats.org/officeDocument/2006/relationships/worksheet" Target="/xl/worksheets/sheet5.xml" Id="Ra7a8d6aee41d4ee6" /><Relationship Type="http://schemas.openxmlformats.org/officeDocument/2006/relationships/worksheet" Target="/xl/worksheets/sheet6.xml" Id="R149e8ba47af24671" /><Relationship Type="http://schemas.openxmlformats.org/officeDocument/2006/relationships/worksheet" Target="/xl/worksheets/sheet7.xml" Id="R9ed36f0a67844b7b" /><Relationship Type="http://schemas.openxmlformats.org/officeDocument/2006/relationships/worksheet" Target="/xl/worksheets/sheet8.xml" Id="Rc2493bb3824641b5" /><Relationship Type="http://schemas.openxmlformats.org/officeDocument/2006/relationships/worksheet" Target="/xl/worksheets/sheet9.xml" Id="Rb996630f572a472b" /><Relationship Type="http://schemas.openxmlformats.org/officeDocument/2006/relationships/worksheet" Target="/xl/worksheets/sheet10.xml" Id="R96e4df1ee93f4b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8" hidden="0" customWidth="1"/>
    <x:col min="5" max="5" width="22" hidden="0" customWidth="1"/>
    <x:col min="6" max="6" width="28" hidden="0" customWidth="1"/>
  </x:cols>
  <x:sheetData>
    <x:row r="1">
      <x:c r="A1" s="16" t="str">
        <x:v>Grammar Mastery Platform — Excel Master v1.0</x:v>
      </x:c>
      <x:c r="B1" s="17"/>
      <x:c r="C1" s="17"/>
      <x:c r="D1" s="17"/>
      <x:c r="E1" s="17"/>
      <x:c r="F1" s="17"/>
    </x:row>
    <x:row r="2">
      <x:c r="A2" s="17"/>
      <x:c r="B2" s="17"/>
      <x:c r="C2" s="17"/>
      <x:c r="D2" s="17"/>
      <x:c r="E2" s="17"/>
      <x:c r="F2" s="17"/>
    </x:row>
    <x:row r="3">
      <x:c r="A3" s="18" t="str">
        <x:v>Item</x:v>
      </x:c>
      <x:c r="B3" s="18" t="str">
        <x:v>Value</x:v>
      </x:c>
      <x:c r="C3" s="18" t="str">
        <x:v>Item</x:v>
      </x:c>
      <x:c r="D3" s="18" t="str">
        <x:v>Value</x:v>
      </x:c>
      <x:c r="E3" s="18" t="str">
        <x:v>Item</x:v>
      </x:c>
      <x:c r="F3" s="18" t="str">
        <x:v>Value</x:v>
      </x:c>
    </x:row>
    <x:row r="4">
      <x:c r="A4" s="17" t="str">
        <x:v>Repository baseline</x:v>
      </x:c>
      <x:c r="B4" s="17" t="str">
        <x:v>repository-baseline-v1.0.0</x:v>
      </x:c>
      <x:c r="C4" s="17" t="str">
        <x:v>Governance</x:v>
      </x:c>
      <x:c r="D4" s="17" t="str">
        <x:v>RESOLVED</x:v>
      </x:c>
      <x:c r="E4" s="17" t="str">
        <x:v>Content Owner</x:v>
      </x:c>
      <x:c r="F4" s="17" t="str">
        <x:v>Iman</x:v>
      </x:c>
    </x:row>
    <x:row r="5">
      <x:c r="A5" s="17" t="str">
        <x:v>Lessons</x:v>
      </x:c>
      <x:c r="B5" s="17" t="n">
        <x:v>52</x:v>
      </x:c>
      <x:c r="C5" s="17" t="str">
        <x:v>Subtopics</x:v>
      </x:c>
      <x:c r="D5" s="17" t="n">
        <x:v>304</x:v>
      </x:c>
      <x:c r="E5" s="17" t="str">
        <x:v>Taxonomy</x:v>
      </x:c>
      <x:c r="F5" s="17" t="str">
        <x:v>11 categories / 27 subcategories</x:v>
      </x:c>
    </x:row>
    <x:row r="6">
      <x:c r="A6" s="17" t="str">
        <x:v>TCF weight total</x:v>
      </x:c>
      <x:c r="B6" s="17" t="n">
        <x:v>100</x:v>
      </x:c>
      <x:c r="C6" s="17" t="str">
        <x:v>Full target</x:v>
      </x:c>
      <x:c r="D6" s="17" t="n">
        <x:v>10636</x:v>
      </x:c>
      <x:c r="E6" s="17" t="str">
        <x:v>MVP target</x:v>
      </x:c>
      <x:c r="F6" s="17" t="n">
        <x:v>2666</x:v>
      </x:c>
    </x:row>
    <x:row r="7">
      <x:c r="A7" s="17" t="str">
        <x:v>Expanded target</x:v>
      </x:c>
      <x:c r="B7" s="17" t="n">
        <x:v>5331</x:v>
      </x:c>
      <x:c r="C7" s="17" t="str">
        <x:v>Current Published</x:v>
      </x:c>
      <x:c r="D7" s="17" t="n">
        <x:v>0</x:v>
      </x:c>
      <x:c r="E7" s="17" t="str">
        <x:v>Runtime Stage13/14</x:v>
      </x:c>
      <x:c r="F7" s="17" t="str">
        <x:v>BLOCKED_EXPECTED</x:v>
      </x:c>
    </x:row>
    <x:row r="8">
      <x:c r="A8" s="17" t="str">
        <x:v>Stage5 role</x:v>
      </x:c>
      <x:c r="B8" s="17" t="str">
        <x:v>Management/control workbook; not Production DB</x:v>
      </x:c>
      <x:c r="C8" s="17" t="str">
        <x:v>Question schema</x:v>
      </x:c>
      <x:c r="D8" s="17" t="str">
        <x:v>Stage10 v0.9.0</x:v>
      </x:c>
      <x:c r="E8" s="17" t="str">
        <x:v>Difficulty owner</x:v>
      </x:c>
      <x:c r="F8" s="17" t="str">
        <x:v>Stage8/9</x:v>
      </x:c>
    </x:row>
    <x:row r="9">
      <x:c r="A9" s="17" t="str">
        <x:v>Source policy</x:v>
      </x:c>
      <x:c r="B9" s="17" t="str">
        <x:v>Source PDFs excluded from public repository</x:v>
      </x:c>
      <x:c r="C9" s="17" t="str">
        <x:v>Book SHA-256</x:v>
      </x:c>
      <x:c r="D9" s="17" t="str">
        <x:v>b6162aacc084cd78ec46f43972fdc68f9330576ea909f4a51767c3333c7e74ca</x:v>
      </x:c>
      <x:c r="E9" s="17" t="str"/>
      <x:c r="F9" s="17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" hidden="0" customWidth="1"/>
    <x:col min="3" max="3" width="38" hidden="0" customWidth="1"/>
    <x:col min="4" max="4" width="24" hidden="0" customWidth="1"/>
    <x:col min="5" max="5" width="42" hidden="0" customWidth="1"/>
    <x:col min="6" max="6" width="20" hidden="0" customWidth="1"/>
  </x:cols>
  <x:sheetData>
    <x:row r="1">
      <x:c r="A1" s="18" t="str">
        <x:v>lesson_id</x:v>
      </x:c>
      <x:c r="B1" s="18" t="str">
        <x:v>lesson_no</x:v>
      </x:c>
      <x:c r="C1" s="18" t="str">
        <x:v>title_fr_official</x:v>
      </x:c>
      <x:c r="D1" s="18" t="str">
        <x:v>system_short_title</x:v>
      </x:c>
      <x:c r="E1" s="18" t="str">
        <x:v>source_ref</x:v>
      </x:c>
      <x:c r="F1" s="18" t="str">
        <x:v>content_version</x:v>
      </x:c>
    </x:row>
    <x:row r="2">
      <x:c r="A2" t="str">
        <x:v>eb643021-d5f2-4093-8fd2-835a2199ef3f</x:v>
      </x:c>
      <x:c r="B2" t="str">
        <x:v>1</x:v>
      </x:c>
      <x:c r="C2" t="str">
        <x:v>LE VERBE « ÊTRE »</x:v>
      </x:c>
      <x:c r="D2" t="str">
        <x:v>etre</x:v>
      </x:c>
      <x:c r="E2" t="str">
        <x:v>Lesson 1; printed pp. 8-11; PDF pp. 10-13</x:v>
      </x:c>
      <x:c r="F2" t="str">
        <x:v>stage1-v1.0</x:v>
      </x:c>
    </x:row>
    <x:row r="3">
      <x:c r="A3" t="str">
        <x:v>734f4892-3926-439e-b274-85e9d824e225</x:v>
      </x:c>
      <x:c r="B3" t="str">
        <x:v>2</x:v>
      </x:c>
      <x:c r="C3" t="str">
        <x:v>L’ADJECTIF (1)</x:v>
      </x:c>
      <x:c r="D3" t="str">
        <x:v>adjectif_1</x:v>
      </x:c>
      <x:c r="E3" t="str">
        <x:v>Lesson 2; printed pp. 12-17; PDF pp. 14-19</x:v>
      </x:c>
      <x:c r="F3" t="str">
        <x:v>stage1-v1.0</x:v>
      </x:c>
    </x:row>
    <x:row r="4">
      <x:c r="A4" t="str">
        <x:v>3dd22b4a-1072-4ca6-91c1-662829b94758</x:v>
      </x:c>
      <x:c r="B4" t="str">
        <x:v>3</x:v>
      </x:c>
      <x:c r="C4" t="str">
        <x:v>LA NÉGATION et L’INTERROGATION (1)</x:v>
      </x:c>
      <x:c r="D4" t="str">
        <x:v>negation_interrogation_1</x:v>
      </x:c>
      <x:c r="E4" t="str">
        <x:v>Lesson 3; printed pp. 18-21; PDF pp. 20-23</x:v>
      </x:c>
      <x:c r="F4" t="str">
        <x:v>stage1-v1.0</x:v>
      </x:c>
    </x:row>
    <x:row r="5">
      <x:c r="A5" t="str">
        <x:v>26acbe21-6e4d-4c22-a0e6-27e27f3bb5ab</x:v>
      </x:c>
      <x:c r="B5" t="str">
        <x:v>4</x:v>
      </x:c>
      <x:c r="C5" t="str">
        <x:v>LE NOM et L’ARTICLE</x:v>
      </x:c>
      <x:c r="D5" t="str">
        <x:v>nom_article</x:v>
      </x:c>
      <x:c r="E5" t="str">
        <x:v>Lesson 4; printed pp. 22-31; PDF pp. 24-33</x:v>
      </x:c>
      <x:c r="F5" t="str">
        <x:v>stage1-v1.0</x:v>
      </x:c>
    </x:row>
    <x:row r="6">
      <x:c r="A6" t="str">
        <x:v>99f46643-99ba-428d-bdaf-193d018572cc</x:v>
      </x:c>
      <x:c r="B6" t="str">
        <x:v>5</x:v>
      </x:c>
      <x:c r="C6" t="str">
        <x:v>« C’EST » et « IL EST »</x:v>
      </x:c>
      <x:c r="D6" t="str">
        <x:v>cest_il_est</x:v>
      </x:c>
      <x:c r="E6" t="str">
        <x:v>Lesson 5; printed pp. 32-35; PDF pp. 34-37</x:v>
      </x:c>
      <x:c r="F6" t="str">
        <x:v>stage1-v1.0</x:v>
      </x:c>
    </x:row>
    <x:row r="7">
      <x:c r="A7" t="str">
        <x:v>f07ba2d4-e9cf-441c-ad53-85194d85e1ff</x:v>
      </x:c>
      <x:c r="B7" t="str">
        <x:v>6</x:v>
      </x:c>
      <x:c r="C7" t="str">
        <x:v>LES POSSESSIFS</x:v>
      </x:c>
      <x:c r="D7" t="str">
        <x:v>possessifs</x:v>
      </x:c>
      <x:c r="E7" t="str">
        <x:v>Lesson 6; printed pp. 36-37; PDF pp. 38-39</x:v>
      </x:c>
      <x:c r="F7" t="str">
        <x:v>stage1-v1.0</x:v>
      </x:c>
    </x:row>
    <x:row r="8">
      <x:c r="A8" t="str">
        <x:v>4bf7f7a6-29e0-471a-8b5c-3740f60b5c8e</x:v>
      </x:c>
      <x:c r="B8" t="str">
        <x:v>7</x:v>
      </x:c>
      <x:c r="C8" t="str">
        <x:v>LES NOMS de PARENTÉ et de GROUPE</x:v>
      </x:c>
      <x:c r="D8" t="str">
        <x:v>noms_parente_groupe</x:v>
      </x:c>
      <x:c r="E8" t="str">
        <x:v>Lesson 7; printed pp. 38-39; PDF pp. 40-41</x:v>
      </x:c>
      <x:c r="F8" t="str">
        <x:v>stage1-v1.0</x:v>
      </x:c>
    </x:row>
    <x:row r="9">
      <x:c r="A9" t="str">
        <x:v>d68e9726-6d53-4ffb-935c-fd8f24aae9ec</x:v>
      </x:c>
      <x:c r="B9" t="str">
        <x:v>8</x:v>
      </x:c>
      <x:c r="C9" t="str">
        <x:v>LES DÉMONSTRATIFS</x:v>
      </x:c>
      <x:c r="D9" t="str">
        <x:v>demonstratifs</x:v>
      </x:c>
      <x:c r="E9" t="str">
        <x:v>Lesson 8; printed pp. 40-41; PDF pp. 42-43</x:v>
      </x:c>
      <x:c r="F9" t="str">
        <x:v>stage1-v1.0</x:v>
      </x:c>
    </x:row>
    <x:row r="10">
      <x:c r="A10" t="str">
        <x:v>3a93c97f-cdce-4896-98be-892e3354b7fc</x:v>
      </x:c>
      <x:c r="B10" t="str">
        <x:v>9</x:v>
      </x:c>
      <x:c r="C10" t="str">
        <x:v>« IL Y A » et « C’EST »</x:v>
      </x:c>
      <x:c r="D10" t="str">
        <x:v>il_y_a_cest</x:v>
      </x:c>
      <x:c r="E10" t="str">
        <x:v>Lesson 9; printed pp. 42-43; PDF pp. 44-45</x:v>
      </x:c>
      <x:c r="F10" t="str">
        <x:v>stage1-v1.0</x:v>
      </x:c>
    </x:row>
    <x:row r="11">
      <x:c r="A11" t="str">
        <x:v>988143e8-7e0e-46e1-94a0-f87f7a1267f5</x:v>
      </x:c>
      <x:c r="B11" t="str">
        <x:v>10</x:v>
      </x:c>
      <x:c r="C11" t="str">
        <x:v>LA SITUATION dans l’ESPACE (1)</x:v>
      </x:c>
      <x:c r="D11" t="str">
        <x:v>situation_espace_1</x:v>
      </x:c>
      <x:c r="E11" t="str">
        <x:v>Lesson 10; printed pp. 44-47; PDF pp. 46-49</x:v>
      </x:c>
      <x:c r="F11" t="str">
        <x:v>stage1-v1.0</x:v>
      </x:c>
    </x:row>
    <x:row r="12">
      <x:c r="A12" t="str">
        <x:v>a02fe5a3-8336-4749-8b93-f43d0a82948a</x:v>
      </x:c>
      <x:c r="B12" t="str">
        <x:v>11</x:v>
      </x:c>
      <x:c r="C12" t="str">
        <x:v>LE VERBE « AVOIR »</x:v>
      </x:c>
      <x:c r="D12" t="str">
        <x:v>avoir</x:v>
      </x:c>
      <x:c r="E12" t="str">
        <x:v>Lesson 11; printed pp. 48-53; PDF pp. 50-55</x:v>
      </x:c>
      <x:c r="F12" t="str">
        <x:v>stage1-v1.0</x:v>
      </x:c>
    </x:row>
    <x:row r="13">
      <x:c r="A13" t="str">
        <x:v>ec78c6b7-50f2-4fcf-8ecd-63c1a84e5e41</x:v>
      </x:c>
      <x:c r="B13" t="str">
        <x:v>12</x:v>
      </x:c>
      <x:c r="C13" t="str">
        <x:v>L’ADJECTIF (2)</x:v>
      </x:c>
      <x:c r="D13" t="str">
        <x:v>adjectif_2</x:v>
      </x:c>
      <x:c r="E13" t="str">
        <x:v>Lesson 12; printed pp. 54-57; PDF pp. 56-59</x:v>
      </x:c>
      <x:c r="F13" t="str">
        <x:v>stage1-v1.0</x:v>
      </x:c>
    </x:row>
    <x:row r="14">
      <x:c r="A14" t="str">
        <x:v>99f4cbed-373c-4bf4-affd-8eda53373a56</x:v>
      </x:c>
      <x:c r="B14" t="str">
        <x:v>13</x:v>
      </x:c>
      <x:c r="C14" t="str">
        <x:v>LES NOMBRES</x:v>
      </x:c>
      <x:c r="D14" t="str">
        <x:v>nombres</x:v>
      </x:c>
      <x:c r="E14" t="str">
        <x:v>Lesson 13; printed pp. 58-63; PDF pp. 60-65</x:v>
      </x:c>
      <x:c r="F14" t="str">
        <x:v>stage1-v1.0</x:v>
      </x:c>
    </x:row>
    <x:row r="15">
      <x:c r="A15" t="str">
        <x:v>8b0727a3-b94e-4d9d-bb86-9a0045b8685a</x:v>
      </x:c>
      <x:c r="B15" t="str">
        <x:v>14</x:v>
      </x:c>
      <x:c r="C15" t="str">
        <x:v>LE TEMPS (1)</x:v>
      </x:c>
      <x:c r="D15" t="str">
        <x:v>temps_1</x:v>
      </x:c>
      <x:c r="E15" t="str">
        <x:v>Lesson 14; printed pp. 64-67; PDF pp. 66-69</x:v>
      </x:c>
      <x:c r="F15" t="str">
        <x:v>stage1-v1.0</x:v>
      </x:c>
    </x:row>
    <x:row r="16">
      <x:c r="A16" t="str">
        <x:v>b182d62b-44dc-4893-b88c-75ef935c0111</x:v>
      </x:c>
      <x:c r="B16" t="str">
        <x:v>15</x:v>
      </x:c>
      <x:c r="C16" t="str">
        <x:v>LES INDÉFINIS</x:v>
      </x:c>
      <x:c r="D16" t="str">
        <x:v>indefinis</x:v>
      </x:c>
      <x:c r="E16" t="str">
        <x:v>Lesson 15; printed pp. 68-71; PDF pp. 70-73</x:v>
      </x:c>
      <x:c r="F16" t="str">
        <x:v>stage1-v1.0</x:v>
      </x:c>
    </x:row>
    <x:row r="17">
      <x:c r="A17" t="str">
        <x:v>619fe3c8-586f-4038-8ea0-e5ad5085412d</x:v>
      </x:c>
      <x:c r="B17" t="str">
        <x:v>16</x:v>
      </x:c>
      <x:c r="C17" t="str">
        <x:v>LES VERBES en « -ER » au PRÉSENT</x:v>
      </x:c>
      <x:c r="D17" t="str">
        <x:v>verbes_er_present</x:v>
      </x:c>
      <x:c r="E17" t="str">
        <x:v>Lesson 16; printed pp. 74-79; PDF pp. 76-81</x:v>
      </x:c>
      <x:c r="F17" t="str">
        <x:v>stage1-v1.0</x:v>
      </x:c>
    </x:row>
    <x:row r="18">
      <x:c r="A18" t="str">
        <x:v>e3b8941a-3506-4903-b9f5-ede88a288def</x:v>
      </x:c>
      <x:c r="B18" t="str">
        <x:v>17</x:v>
      </x:c>
      <x:c r="C18" t="str">
        <x:v>LE TEMPS (2)</x:v>
      </x:c>
      <x:c r="D18" t="str">
        <x:v>temps_2</x:v>
      </x:c>
      <x:c r="E18" t="str">
        <x:v>Lesson 17; printed pp. 80-81; PDF pp. 82-83</x:v>
      </x:c>
      <x:c r="F18" t="str">
        <x:v>stage1-v1.0</x:v>
      </x:c>
    </x:row>
    <x:row r="19">
      <x:c r="A19" t="str">
        <x:v>ec290ee6-f705-4b74-98db-7e4079c54d60</x:v>
      </x:c>
      <x:c r="B19" t="str">
        <x:v>18</x:v>
      </x:c>
      <x:c r="C19" t="str">
        <x:v>L’ADVERBE</x:v>
      </x:c>
      <x:c r="D19" t="str">
        <x:v>adverbe</x:v>
      </x:c>
      <x:c r="E19" t="str">
        <x:v>Lesson 18; printed pp. 82-85; PDF pp. 84-87</x:v>
      </x:c>
      <x:c r="F19" t="str">
        <x:v>stage1-v1.0</x:v>
      </x:c>
    </x:row>
    <x:row r="20">
      <x:c r="A20" t="str">
        <x:v>cb9bdbbf-0955-46a6-b979-69203ff4d988</x:v>
      </x:c>
      <x:c r="B20" t="str">
        <x:v>19</x:v>
      </x:c>
      <x:c r="C20" t="str">
        <x:v>L’EXPRESSION de la QUANTITÉ</x:v>
      </x:c>
      <x:c r="D20" t="str">
        <x:v>expression_quantite</x:v>
      </x:c>
      <x:c r="E20" t="str">
        <x:v>Lesson 19; printed pp. 86-89; PDF pp. 88-91</x:v>
      </x:c>
      <x:c r="F20" t="str">
        <x:v>stage1-v1.0</x:v>
      </x:c>
    </x:row>
    <x:row r="21">
      <x:c r="A21" t="str">
        <x:v>dd8aa1ed-067c-4e17-a9db-10d3b630688a</x:v>
      </x:c>
      <x:c r="B21" t="str">
        <x:v>20</x:v>
      </x:c>
      <x:c r="C21" t="str">
        <x:v>LE PRONOM « EN »</x:v>
      </x:c>
      <x:c r="D21" t="str">
        <x:v>pronom_en</x:v>
      </x:c>
      <x:c r="E21" t="str">
        <x:v>Lesson 20; printed pp. 90-93; PDF pp. 92-95</x:v>
      </x:c>
      <x:c r="F21" t="str">
        <x:v>stage1-v1.0</x:v>
      </x:c>
    </x:row>
    <x:row r="22">
      <x:c r="A22" t="str">
        <x:v>a7d4b7ab-babf-44fd-8d1b-09d273f60704</x:v>
      </x:c>
      <x:c r="B22" t="str">
        <x:v>21</x:v>
      </x:c>
      <x:c r="C22" t="str">
        <x:v>LA SITUATION dans l’ESPACE (2)</x:v>
      </x:c>
      <x:c r="D22" t="str">
        <x:v>situation_espace_2</x:v>
      </x:c>
      <x:c r="E22" t="str">
        <x:v>Lesson 21; printed pp. 94-95; PDF pp. 96-97</x:v>
      </x:c>
      <x:c r="F22" t="str">
        <x:v>stage1-v1.0</x:v>
      </x:c>
    </x:row>
    <x:row r="23">
      <x:c r="A23" t="str">
        <x:v>526ffab9-fc9b-4221-997e-e57dfbf9694a</x:v>
      </x:c>
      <x:c r="B23" t="str">
        <x:v>22</x:v>
      </x:c>
      <x:c r="C23" t="str">
        <x:v>LE COMPARATIF et LE SUPERLATIF</x:v>
      </x:c>
      <x:c r="D23" t="str">
        <x:v>comparatif_superlatif</x:v>
      </x:c>
      <x:c r="E23" t="str">
        <x:v>Lesson 22; printed pp. 96-101; PDF pp. 98-103</x:v>
      </x:c>
      <x:c r="F23" t="str">
        <x:v>stage1-v1.0</x:v>
      </x:c>
    </x:row>
    <x:row r="24">
      <x:c r="A24" t="str">
        <x:v>327c43bc-8757-4e51-aff0-9c04775c57cf</x:v>
      </x:c>
      <x:c r="B24" t="str">
        <x:v>23</x:v>
      </x:c>
      <x:c r="C24" t="str">
        <x:v>LE VERBE « ALLER »</x:v>
      </x:c>
      <x:c r="D24" t="str">
        <x:v>aller</x:v>
      </x:c>
      <x:c r="E24" t="str">
        <x:v>Lesson 23; printed pp. 102-103; PDF pp. 104-105</x:v>
      </x:c>
      <x:c r="F24" t="str">
        <x:v>stage1-v1.0</x:v>
      </x:c>
    </x:row>
    <x:row r="25">
      <x:c r="A25" t="str">
        <x:v>e3b468de-4bc2-4b96-b4dc-0bfa0c3d5a85</x:v>
      </x:c>
      <x:c r="B25" t="str">
        <x:v>24</x:v>
      </x:c>
      <x:c r="C25" t="str">
        <x:v>LE PRONOM « Y »</x:v>
      </x:c>
      <x:c r="D25" t="str">
        <x:v>pronom_y</x:v>
      </x:c>
      <x:c r="E25" t="str">
        <x:v>Lesson 24; printed pp. 104-105; PDF pp. 106-107</x:v>
      </x:c>
      <x:c r="F25" t="str">
        <x:v>stage1-v1.0</x:v>
      </x:c>
    </x:row>
    <x:row r="26">
      <x:c r="A26" t="str">
        <x:v>aece8fe7-c303-4257-a531-a3d6e0f242de</x:v>
      </x:c>
      <x:c r="B26" t="str">
        <x:v>25</x:v>
      </x:c>
      <x:c r="C26" t="str">
        <x:v>LA SITUATION dans l’ESPACE et le TEMPS (3)</x:v>
      </x:c>
      <x:c r="D26" t="str">
        <x:v>situation_espace_temps_3</x:v>
      </x:c>
      <x:c r="E26" t="str">
        <x:v>Lesson 25; printed pp. 106-107; PDF pp. 108-109</x:v>
      </x:c>
      <x:c r="F26" t="str">
        <x:v>stage1-v1.0</x:v>
      </x:c>
    </x:row>
    <x:row r="27">
      <x:c r="A27" t="str">
        <x:v>6ad0bf53-cab8-4037-8548-6e73441d1620</x:v>
      </x:c>
      <x:c r="B27" t="str">
        <x:v>26</x:v>
      </x:c>
      <x:c r="C27" t="str">
        <x:v>LES VERBES en « -IR », « -OIR » et « -RE » au PRÉSENT</x:v>
      </x:c>
      <x:c r="D27" t="str">
        <x:v>verbes_ir_oir_re_present</x:v>
      </x:c>
      <x:c r="E27" t="str">
        <x:v>Lesson 26; printed pp. 108-121; PDF pp. 110-123</x:v>
      </x:c>
      <x:c r="F27" t="str">
        <x:v>stage1-v1.0</x:v>
      </x:c>
    </x:row>
    <x:row r="28">
      <x:c r="A28" t="str">
        <x:v>e5bfdde7-6889-4829-ad65-06a572af5f97</x:v>
      </x:c>
      <x:c r="B28" t="str">
        <x:v>27</x:v>
      </x:c>
      <x:c r="C28" t="str">
        <x:v>LES VERBES PRONOMINAUX</x:v>
      </x:c>
      <x:c r="D28" t="str">
        <x:v>verbes_pronominaux</x:v>
      </x:c>
      <x:c r="E28" t="str">
        <x:v>Lesson 27; printed pp. 122-123; PDF pp. 124-125</x:v>
      </x:c>
      <x:c r="F28" t="str">
        <x:v>stage1-v1.0</x:v>
      </x:c>
    </x:row>
    <x:row r="29">
      <x:c r="A29" t="str">
        <x:v>2ad099b6-e9f4-4b96-8883-d88977fc94b4</x:v>
      </x:c>
      <x:c r="B29" t="str">
        <x:v>28</x:v>
      </x:c>
      <x:c r="C29" t="str">
        <x:v>LES PRONOMS COMPLÉMENTS</x:v>
      </x:c>
      <x:c r="D29" t="str">
        <x:v>pronoms_complements</x:v>
      </x:c>
      <x:c r="E29" t="str">
        <x:v>Lesson 28; printed pp. 124-131; PDF pp. 126-133</x:v>
      </x:c>
      <x:c r="F29" t="str">
        <x:v>stage1-v1.0</x:v>
      </x:c>
    </x:row>
    <x:row r="30">
      <x:c r="A30" t="str">
        <x:v>0259af3a-8df3-4f28-ad02-62a99368c409</x:v>
      </x:c>
      <x:c r="B30" t="str">
        <x:v>29</x:v>
      </x:c>
      <x:c r="C30" t="str">
        <x:v>LES PRONOMS TONIQUES</x:v>
      </x:c>
      <x:c r="D30" t="str">
        <x:v>pronoms_toniques</x:v>
      </x:c>
      <x:c r="E30" t="str">
        <x:v>Lesson 29; printed pp. 132-133; PDF pp. 134-135</x:v>
      </x:c>
      <x:c r="F30" t="str">
        <x:v>stage1-v1.0</x:v>
      </x:c>
    </x:row>
    <x:row r="31">
      <x:c r="A31" t="str">
        <x:v>b24408b6-c9b4-4fbc-9b92-ad4d2ae13876</x:v>
      </x:c>
      <x:c r="B31" t="str">
        <x:v>30</x:v>
      </x:c>
      <x:c r="C31" t="str">
        <x:v>L’IMPÉRATIF</x:v>
      </x:c>
      <x:c r="D31" t="str">
        <x:v>imperatif</x:v>
      </x:c>
      <x:c r="E31" t="str">
        <x:v>Lesson 30; printed pp. 134-135; PDF pp. 136-137</x:v>
      </x:c>
      <x:c r="F31" t="str">
        <x:v>stage1-v1.0</x:v>
      </x:c>
    </x:row>
    <x:row r="32">
      <x:c r="A32" t="str">
        <x:v>83d883bf-5242-4dc2-bed6-dad1585746db</x:v>
      </x:c>
      <x:c r="B32" t="str">
        <x:v>31</x:v>
      </x:c>
      <x:c r="C32" t="str">
        <x:v>LE CONDITIONNEL (1)</x:v>
      </x:c>
      <x:c r="D32" t="str">
        <x:v>conditionnel_1</x:v>
      </x:c>
      <x:c r="E32" t="str">
        <x:v>Lesson 31; printed pp. 136-137; PDF pp. 138-139</x:v>
      </x:c>
      <x:c r="F32" t="str">
        <x:v>stage1-v1.0</x:v>
      </x:c>
    </x:row>
    <x:row r="33">
      <x:c r="A33" t="str">
        <x:v>4ec05ffb-8465-4c5c-9a50-d67136ad0472</x:v>
      </x:c>
      <x:c r="B33" t="str">
        <x:v>32</x:v>
      </x:c>
      <x:c r="C33" t="str">
        <x:v>LES RELATIFS</x:v>
      </x:c>
      <x:c r="D33" t="str">
        <x:v>relatifs</x:v>
      </x:c>
      <x:c r="E33" t="str">
        <x:v>Lesson 32; printed pp. 140-147; PDF pp. 142-149</x:v>
      </x:c>
      <x:c r="F33" t="str">
        <x:v>stage1-v1.0</x:v>
      </x:c>
    </x:row>
    <x:row r="34">
      <x:c r="A34" t="str">
        <x:v>1854197b-634e-4db7-893c-7e9b6bcbf004</x:v>
      </x:c>
      <x:c r="B34" t="str">
        <x:v>33</x:v>
      </x:c>
      <x:c r="C34" t="str">
        <x:v>L’INTERROGATION (2)</x:v>
      </x:c>
      <x:c r="D34" t="str">
        <x:v>interrogation_2</x:v>
      </x:c>
      <x:c r="E34" t="str">
        <x:v>Lesson 33; printed pp. 148-151; PDF pp. 150-153</x:v>
      </x:c>
      <x:c r="F34" t="str">
        <x:v>stage1-v1.0</x:v>
      </x:c>
    </x:row>
    <x:row r="35">
      <x:c r="A35" t="str">
        <x:v>7a8563ae-ac42-49d2-bddd-42140c4e5245</x:v>
      </x:c>
      <x:c r="B35" t="str">
        <x:v>34</x:v>
      </x:c>
      <x:c r="C35" t="str">
        <x:v>LA NÉGATION (2)</x:v>
      </x:c>
      <x:c r="D35" t="str">
        <x:v>negation_2</x:v>
      </x:c>
      <x:c r="E35" t="str">
        <x:v>Lesson 34; printed pp. 152-155; PDF pp. 154-157</x:v>
      </x:c>
      <x:c r="F35" t="str">
        <x:v>stage1-v1.0</x:v>
      </x:c>
    </x:row>
    <x:row r="36">
      <x:c r="A36" t="str">
        <x:v>83287154-f6ce-4595-a2b2-17537cb9908d</x:v>
      </x:c>
      <x:c r="B36" t="str">
        <x:v>35</x:v>
      </x:c>
      <x:c r="C36" t="str">
        <x:v>LE DISCOURS INDIRECT au PRÉSENT</x:v>
      </x:c>
      <x:c r="D36" t="str">
        <x:v>discours_indirect_present</x:v>
      </x:c>
      <x:c r="E36" t="str">
        <x:v>Lesson 35; printed pp. 156-157; PDF pp. 158-159</x:v>
      </x:c>
      <x:c r="F36" t="str">
        <x:v>stage1-v1.0</x:v>
      </x:c>
    </x:row>
    <x:row r="37">
      <x:c r="A37" t="str">
        <x:v>03b37cc5-75e7-4209-9322-1f6401df4973</x:v>
      </x:c>
      <x:c r="B37" t="str">
        <x:v>36</x:v>
      </x:c>
      <x:c r="C37" t="str">
        <x:v>LE GÉRONDIF</x:v>
      </x:c>
      <x:c r="D37" t="str">
        <x:v>gerondif</x:v>
      </x:c>
      <x:c r="E37" t="str">
        <x:v>Lesson 36; printed pp. 158-159; PDF pp. 160-161</x:v>
      </x:c>
      <x:c r="F37" t="str">
        <x:v>stage1-v1.0</x:v>
      </x:c>
    </x:row>
    <x:row r="38">
      <x:c r="A38" t="str">
        <x:v>7a66cb3a-470c-4ae3-ae32-325cf327c9f9</x:v>
      </x:c>
      <x:c r="B38" t="str">
        <x:v>37</x:v>
      </x:c>
      <x:c r="C38" t="str">
        <x:v>LES PRÉPOSITIONS et LES VERBES</x:v>
      </x:c>
      <x:c r="D38" t="str">
        <x:v>prepositions_verbes</x:v>
      </x:c>
      <x:c r="E38" t="str">
        <x:v>Lesson 37; printed pp. 160-163; PDF pp. 162-165</x:v>
      </x:c>
      <x:c r="F38" t="str">
        <x:v>stage1-v1.0</x:v>
      </x:c>
    </x:row>
    <x:row r="39">
      <x:c r="A39" t="str">
        <x:v>d138adce-c139-454e-b3a3-1ff9464bd0e8</x:v>
      </x:c>
      <x:c r="B39" t="str">
        <x:v>38</x:v>
      </x:c>
      <x:c r="C39" t="str">
        <x:v>LES VERBES de DÉPLACEMENT</x:v>
      </x:c>
      <x:c r="D39" t="str">
        <x:v>verbes_deplacement</x:v>
      </x:c>
      <x:c r="E39" t="str">
        <x:v>Lesson 38; printed pp. 164-165; PDF pp. 166-167</x:v>
      </x:c>
      <x:c r="F39" t="str">
        <x:v>stage1-v1.0</x:v>
      </x:c>
    </x:row>
    <x:row r="40">
      <x:c r="A40" t="str">
        <x:v>2cc8ffec-0888-40b2-bb6b-23bb8ebcd4f0</x:v>
      </x:c>
      <x:c r="B40" t="str">
        <x:v>39</x:v>
      </x:c>
      <x:c r="C40" t="str">
        <x:v>LE FUTUR PROCHE</x:v>
      </x:c>
      <x:c r="D40" t="str">
        <x:v>futur_proche</x:v>
      </x:c>
      <x:c r="E40" t="str">
        <x:v>Lesson 39; printed pp. 166-173; PDF pp. 168-175</x:v>
      </x:c>
      <x:c r="F40" t="str">
        <x:v>stage1-v1.0</x:v>
      </x:c>
    </x:row>
    <x:row r="41">
      <x:c r="A41" t="str">
        <x:v>a2303764-b3c6-4a78-a5eb-287adffcd970</x:v>
      </x:c>
      <x:c r="B41" t="str">
        <x:v>40</x:v>
      </x:c>
      <x:c r="C41" t="str">
        <x:v>LE PASSÉ COMPOSÉ</x:v>
      </x:c>
      <x:c r="D41" t="str">
        <x:v>passe_compose</x:v>
      </x:c>
      <x:c r="E41" t="str">
        <x:v>Lesson 40; printed pp. 174-197; PDF pp. 176-199</x:v>
      </x:c>
      <x:c r="F41" t="str">
        <x:v>stage1-v1.0</x:v>
      </x:c>
    </x:row>
    <x:row r="42">
      <x:c r="A42" t="str">
        <x:v>61d3b6b5-dd58-4ca4-b78d-521013ae2461</x:v>
      </x:c>
      <x:c r="B42" t="str">
        <x:v>41</x:v>
      </x:c>
      <x:c r="C42" t="str">
        <x:v>LE TEMPS (3)</x:v>
      </x:c>
      <x:c r="D42" t="str">
        <x:v>temps_3</x:v>
      </x:c>
      <x:c r="E42" t="str">
        <x:v>Lesson 41; printed pp. 198-203; PDF pp. 200-205</x:v>
      </x:c>
      <x:c r="F42" t="str">
        <x:v>stage1-v1.0</x:v>
      </x:c>
    </x:row>
    <x:row r="43">
      <x:c r="A43" t="str">
        <x:v>79d5da54-9d06-473a-a60c-1c4cb74c38e1</x:v>
      </x:c>
      <x:c r="B43" t="str">
        <x:v>42</x:v>
      </x:c>
      <x:c r="C43" t="str">
        <x:v>LE PASSIF</x:v>
      </x:c>
      <x:c r="D43" t="str">
        <x:v>passif</x:v>
      </x:c>
      <x:c r="E43" t="str">
        <x:v>Lesson 42; printed pp. 204-205; PDF pp. 206-207</x:v>
      </x:c>
      <x:c r="F43" t="str">
        <x:v>stage1-v1.0</x:v>
      </x:c>
    </x:row>
    <x:row r="44">
      <x:c r="A44" t="str">
        <x:v>1a7369fc-5f96-48eb-9433-a91853b0f074</x:v>
      </x:c>
      <x:c r="B44" t="str">
        <x:v>43</x:v>
      </x:c>
      <x:c r="C44" t="str">
        <x:v>L’IMPARFAIT</x:v>
      </x:c>
      <x:c r="D44" t="str">
        <x:v>imparfait</x:v>
      </x:c>
      <x:c r="E44" t="str">
        <x:v>Lesson 43; printed pp. 206-213; PDF pp. 208-215</x:v>
      </x:c>
      <x:c r="F44" t="str">
        <x:v>stage1-v1.0</x:v>
      </x:c>
    </x:row>
    <x:row r="45">
      <x:c r="A45" t="str">
        <x:v>7b460b08-fac3-4f7c-bec0-0e1863fbcca3</x:v>
      </x:c>
      <x:c r="B45" t="str">
        <x:v>44</x:v>
      </x:c>
      <x:c r="C45" t="str">
        <x:v>LE PLUS-QUE-PARFAIT</x:v>
      </x:c>
      <x:c r="D45" t="str">
        <x:v>plus_que_parfait</x:v>
      </x:c>
      <x:c r="E45" t="str">
        <x:v>Lesson 44; printed pp. 214-215; PDF pp. 216-217</x:v>
      </x:c>
      <x:c r="F45" t="str">
        <x:v>stage1-v1.0</x:v>
      </x:c>
    </x:row>
    <x:row r="46">
      <x:c r="A46" t="str">
        <x:v>ea5e63b4-af5e-438a-b50c-a3d9678296b6</x:v>
      </x:c>
      <x:c r="B46" t="str">
        <x:v>45</x:v>
      </x:c>
      <x:c r="C46" t="str">
        <x:v>LE DISCOURS INDIRECT au PASSÉ</x:v>
      </x:c>
      <x:c r="D46" t="str">
        <x:v>discours_indirect_passe</x:v>
      </x:c>
      <x:c r="E46" t="str">
        <x:v>Lesson 45; printed pp. 216-219; PDF pp. 218-221</x:v>
      </x:c>
      <x:c r="F46" t="str">
        <x:v>stage1-v1.0</x:v>
      </x:c>
    </x:row>
    <x:row r="47">
      <x:c r="A47" t="str">
        <x:v>fa21c54c-eda9-434c-9b4c-af896a3dfde0</x:v>
      </x:c>
      <x:c r="B47" t="str">
        <x:v>46</x:v>
      </x:c>
      <x:c r="C47" t="str">
        <x:v>« VENIR de », « ÊTRE en TRAIN de », « ÊTRE sur le POINT de »</x:v>
      </x:c>
      <x:c r="D47" t="str">
        <x:v>aspect_periphrases</x:v>
      </x:c>
      <x:c r="E47" t="str">
        <x:v>Lesson 46; printed pp. 222-223; PDF pp. 224-225</x:v>
      </x:c>
      <x:c r="F47" t="str">
        <x:v>stage1-v1.0</x:v>
      </x:c>
    </x:row>
    <x:row r="48">
      <x:c r="A48" t="str">
        <x:v>9452d2bf-3b54-4cbe-9410-2a607d9d9903</x:v>
      </x:c>
      <x:c r="B48" t="str">
        <x:v>47</x:v>
      </x:c>
      <x:c r="C48" t="str">
        <x:v>LE FUTUR SIMPLE</x:v>
      </x:c>
      <x:c r="D48" t="str">
        <x:v>futur_simple</x:v>
      </x:c>
      <x:c r="E48" t="str">
        <x:v>Lesson 47; printed pp. 224-227; PDF pp. 226-229</x:v>
      </x:c>
      <x:c r="F48" t="str">
        <x:v>stage1-v1.0</x:v>
      </x:c>
    </x:row>
    <x:row r="49">
      <x:c r="A49" t="str">
        <x:v>c8b25314-e54b-4ec5-9a31-41e6af6cfab4</x:v>
      </x:c>
      <x:c r="B49" t="str">
        <x:v>48</x:v>
      </x:c>
      <x:c r="C49" t="str">
        <x:v>LE FUTUR ANTÉRIEUR</x:v>
      </x:c>
      <x:c r="D49" t="str">
        <x:v>futur_anterieur</x:v>
      </x:c>
      <x:c r="E49" t="str">
        <x:v>Lesson 48; printed pp. 228-229; PDF pp. 230-231</x:v>
      </x:c>
      <x:c r="F49" t="str">
        <x:v>stage1-v1.0</x:v>
      </x:c>
    </x:row>
    <x:row r="50">
      <x:c r="A50" t="str">
        <x:v>8492c636-b6f3-4368-97df-c4e0387ff946</x:v>
      </x:c>
      <x:c r="B50" t="str">
        <x:v>49</x:v>
      </x:c>
      <x:c r="C50" t="str">
        <x:v>LE CONDITIONNEL (2)</x:v>
      </x:c>
      <x:c r="D50" t="str">
        <x:v>conditionnel_2</x:v>
      </x:c>
      <x:c r="E50" t="str">
        <x:v>Lesson 49; printed pp. 230-231; PDF pp. 232-233</x:v>
      </x:c>
      <x:c r="F50" t="str">
        <x:v>stage1-v1.0</x:v>
      </x:c>
    </x:row>
    <x:row r="51">
      <x:c r="A51" t="str">
        <x:v>7292614b-ad5b-496f-836e-1ca257cb80cc</x:v>
      </x:c>
      <x:c r="B51" t="str">
        <x:v>50</x:v>
      </x:c>
      <x:c r="C51" t="str">
        <x:v>LES HYPOTHÈSES</x:v>
      </x:c>
      <x:c r="D51" t="str">
        <x:v>hypotheses</x:v>
      </x:c>
      <x:c r="E51" t="str">
        <x:v>Lesson 50; printed pp. 232-237; PDF pp. 234-239</x:v>
      </x:c>
      <x:c r="F51" t="str">
        <x:v>stage1-v1.0</x:v>
      </x:c>
    </x:row>
    <x:row r="52">
      <x:c r="A52" t="str">
        <x:v>5a20dade-1724-4c8a-887c-14dee287c1a2</x:v>
      </x:c>
      <x:c r="B52" t="str">
        <x:v>51</x:v>
      </x:c>
      <x:c r="C52" t="str">
        <x:v>LE SUBJONCTIF</x:v>
      </x:c>
      <x:c r="D52" t="str">
        <x:v>subjonctif</x:v>
      </x:c>
      <x:c r="E52" t="str">
        <x:v>Lesson 51; printed pp. 238-249; PDF pp. 240-251</x:v>
      </x:c>
      <x:c r="F52" t="str">
        <x:v>stage1-v1.0</x:v>
      </x:c>
    </x:row>
    <x:row r="53">
      <x:c r="A53" t="str">
        <x:v>f0a5d28c-4b03-42c8-bd92-0708737ab3f1</x:v>
      </x:c>
      <x:c r="B53" t="str">
        <x:v>52</x:v>
      </x:c>
      <x:c r="C53" t="str">
        <x:v>LES RELATIONS LOGIQUES</x:v>
      </x:c>
      <x:c r="D53" t="str">
        <x:v>relations_logiques</x:v>
      </x:c>
      <x:c r="E53" t="str">
        <x:v>Lesson 52; printed pp. 250-255; PDF pp. 252-257</x:v>
      </x:c>
      <x:c r="F53" t="str">
        <x:v>stage1-v1.0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3" hidden="0" customWidth="1"/>
    <x:col min="3" max="3" width="38" hidden="0" customWidth="1"/>
    <x:col min="4" max="4" width="9" hidden="0" customWidth="1"/>
    <x:col min="5" max="5" width="36" hidden="0" customWidth="1"/>
    <x:col min="6" max="6" width="32" hidden="0" customWidth="1"/>
    <x:col min="7" max="7" width="32" hidden="0" customWidth="1"/>
    <x:col min="8" max="8" width="40" hidden="0" customWidth="1"/>
    <x:col min="9" max="9" width="38" hidden="0" customWidth="1"/>
    <x:col min="10" max="10" width="18" hidden="0" customWidth="1"/>
  </x:cols>
  <x:sheetData>
    <x:row r="1">
      <x:c r="A1" s="18" t="str">
        <x:v>subtopic_id</x:v>
      </x:c>
      <x:c r="B1" s="18" t="str">
        <x:v>subtopic_code</x:v>
      </x:c>
      <x:c r="C1" s="18" t="str">
        <x:v>lesson_id</x:v>
      </x:c>
      <x:c r="D1" s="18" t="str">
        <x:v>lesson_no</x:v>
      </x:c>
      <x:c r="E1" s="18" t="str">
        <x:v>lesson_title_fr</x:v>
      </x:c>
      <x:c r="F1" s="18" t="str">
        <x:v>title_fr</x:v>
      </x:c>
      <x:c r="G1" s="18" t="str">
        <x:v>title_fa_draft</x:v>
      </x:c>
      <x:c r="H1" s="18" t="str">
        <x:v>definition_short_fa</x:v>
      </x:c>
      <x:c r="I1" s="18" t="str">
        <x:v>source_ref</x:v>
      </x:c>
      <x:c r="J1" s="18" t="str">
        <x:v>content_version</x:v>
      </x:c>
    </x:row>
    <x:row r="2">
      <x:c r="A2" t="str">
        <x:v>cfdb9cd8-73ac-48d3-8b53-3434fe851607</x:v>
      </x:c>
      <x:c r="B2" t="str">
        <x:v>L01-S01</x:v>
      </x:c>
      <x:c r="C2" t="str">
        <x:v>eb643021-d5f2-4093-8fd2-835a2199ef3f</x:v>
      </x:c>
      <x:c r="D2" t="str">
        <x:v>1</x:v>
      </x:c>
      <x:c r="E2" t="str">
        <x:v>LE VERBE « ÊTRE »</x:v>
      </x:c>
      <x:c r="F2" t="str">
        <x:v>Être au dialogue de base</x:v>
      </x:c>
      <x:c r="G2" t="str">
        <x:v>کاربرد être در جملهٔ پایه</x:v>
      </x:c>
      <x:c r="H2" t="str">
        <x:v>être برای معرفی وضعیت، هویت، ملیت و مکان به‌کار می‌رود.</x:v>
      </x:c>
      <x:c r="I2" t="str">
        <x:v>Lesson 1; printed p. 8</x:v>
      </x:c>
      <x:c r="J2" t="str">
        <x:v>stage1-v1.0</x:v>
      </x:c>
    </x:row>
    <x:row r="3">
      <x:c r="A3" t="str">
        <x:v>1237cb2a-77f1-42e5-8f99-aa79ac2d41db</x:v>
      </x:c>
      <x:c r="B3" t="str">
        <x:v>L01-S02</x:v>
      </x:c>
      <x:c r="C3" t="str">
        <x:v>eb643021-d5f2-4093-8fd2-835a2199ef3f</x:v>
      </x:c>
      <x:c r="D3" t="str">
        <x:v>1</x:v>
      </x:c>
      <x:c r="E3" t="str">
        <x:v>LE VERBE « ÊTRE »</x:v>
      </x:c>
      <x:c r="F3" t="str">
        <x:v>Conjugaison de « être »</x:v>
      </x:c>
      <x:c r="G3" t="str">
        <x:v>صرف être</x:v>
      </x:c>
      <x:c r="H3" t="str">
        <x:v>صرف حال être: suis, es, est, sommes, êtes, sont.</x:v>
      </x:c>
      <x:c r="I3" t="str">
        <x:v>Lesson 1; printed p. 10</x:v>
      </x:c>
      <x:c r="J3" t="str">
        <x:v>stage1-v1.0</x:v>
      </x:c>
    </x:row>
    <x:row r="4">
      <x:c r="A4" t="str">
        <x:v>2d95b9d7-f446-49d9-bab9-01db75bf00ea</x:v>
      </x:c>
      <x:c r="B4" t="str">
        <x:v>L01-S03</x:v>
      </x:c>
      <x:c r="C4" t="str">
        <x:v>eb643021-d5f2-4093-8fd2-835a2199ef3f</x:v>
      </x:c>
      <x:c r="D4" t="str">
        <x:v>1</x:v>
      </x:c>
      <x:c r="E4" t="str">
        <x:v>LE VERBE « ÊTRE »</x:v>
      </x:c>
      <x:c r="F4" t="str">
        <x:v>Pronoms sujets avec « être »</x:v>
      </x:c>
      <x:c r="G4" t="str">
        <x:v>ضمیرهای فاعلی</x:v>
      </x:c>
      <x:c r="H4" t="str">
        <x:v>je, tu, il/elle/on, nous, vous, ils/elles فاعل جمله‌اند.</x:v>
      </x:c>
      <x:c r="I4" t="str">
        <x:v>Lesson 1; printed p. 10</x:v>
      </x:c>
      <x:c r="J4" t="str">
        <x:v>stage1-v1.0</x:v>
      </x:c>
    </x:row>
    <x:row r="5">
      <x:c r="A5" t="str">
        <x:v>6f0ff508-1612-49b8-b1f5-283619cfdc64</x:v>
      </x:c>
      <x:c r="B5" t="str">
        <x:v>L01-S04</x:v>
      </x:c>
      <x:c r="C5" t="str">
        <x:v>eb643021-d5f2-4093-8fd2-835a2199ef3f</x:v>
      </x:c>
      <x:c r="D5" t="str">
        <x:v>1</x:v>
      </x:c>
      <x:c r="E5" t="str">
        <x:v>LE VERBE « ÊTRE »</x:v>
      </x:c>
      <x:c r="F5" t="str">
        <x:v>Liaison avec « être »</x:v>
      </x:c>
      <x:c r="G5" t="str">
        <x:v>لیِزون با être</x:v>
      </x:c>
      <x:c r="H5" t="str">
        <x:v>در برخی ترکیب‌های ضمیر + être liaison اجباری است.</x:v>
      </x:c>
      <x:c r="I5" t="str">
        <x:v>Lesson 1; printed p. 10</x:v>
      </x:c>
      <x:c r="J5" t="str">
        <x:v>stage1-v1.0</x:v>
      </x:c>
    </x:row>
    <x:row r="6">
      <x:c r="A6" t="str">
        <x:v>edfe2905-bf23-49a0-aa85-8037790301eb</x:v>
      </x:c>
      <x:c r="B6" t="str">
        <x:v>L02-S01</x:v>
      </x:c>
      <x:c r="C6" t="str">
        <x:v>734f4892-3926-439e-b274-85e9d824e225</x:v>
      </x:c>
      <x:c r="D6" t="str">
        <x:v>2</x:v>
      </x:c>
      <x:c r="E6" t="str">
        <x:v>L’ADJECTIF (1)</x:v>
      </x:c>
      <x:c r="F6" t="str">
        <x:v>Masculin et féminin de l’adjectif</x:v>
      </x:c>
      <x:c r="G6" t="str">
        <x:v>مذکر و مؤنث صفت</x:v>
      </x:c>
      <x:c r="H6" t="str">
        <x:v>مؤنث صفت غالباً با افزودن -e ساخته می‌شود.</x:v>
      </x:c>
      <x:c r="I6" t="str">
        <x:v>Lesson 2; printed p. 12</x:v>
      </x:c>
      <x:c r="J6" t="str">
        <x:v>stage1-v1.0</x:v>
      </x:c>
    </x:row>
    <x:row r="7">
      <x:c r="A7" t="str">
        <x:v>0c0ad026-3216-4ade-a8ed-2b8ad3fbffba</x:v>
      </x:c>
      <x:c r="B7" t="str">
        <x:v>L02-S02</x:v>
      </x:c>
      <x:c r="C7" t="str">
        <x:v>734f4892-3926-439e-b274-85e9d824e225</x:v>
      </x:c>
      <x:c r="D7" t="str">
        <x:v>2</x:v>
      </x:c>
      <x:c r="E7" t="str">
        <x:v>L’ADJECTIF (1)</x:v>
      </x:c>
      <x:c r="F7" t="str">
        <x:v>Singulier et pluriel de l’adjectif</x:v>
      </x:c>
      <x:c r="G7" t="str">
        <x:v>مفرد و جمع صفت</x:v>
      </x:c>
      <x:c r="H7" t="str">
        <x:v>جمع صفت معمولاً با -s ساخته می‌شود و با مرجع توافق می‌کند.</x:v>
      </x:c>
      <x:c r="I7" t="str">
        <x:v>Lesson 2; printed p. 14</x:v>
      </x:c>
      <x:c r="J7" t="str">
        <x:v>stage1-v1.0</x:v>
      </x:c>
    </x:row>
    <x:row r="8">
      <x:c r="A8" t="str">
        <x:v>bc10049a-8af0-4132-b499-7795d48e78a0</x:v>
      </x:c>
      <x:c r="B8" t="str">
        <x:v>L02-S03</x:v>
      </x:c>
      <x:c r="C8" t="str">
        <x:v>734f4892-3926-439e-b274-85e9d824e225</x:v>
      </x:c>
      <x:c r="D8" t="str">
        <x:v>2</x:v>
      </x:c>
      <x:c r="E8" t="str">
        <x:v>L’ADJECTIF (1)</x:v>
      </x:c>
      <x:c r="F8" t="str">
        <x:v>Adjectifs de couleur</x:v>
      </x:c>
      <x:c r="G8" t="str">
        <x:v>صفات رنگ</x:v>
      </x:c>
      <x:c r="H8" t="str">
        <x:v>صفات رنگ معمولاً توافق می‌کنند، اما همهٔ رنگ‌ها رفتار یکسان ندارند.</x:v>
      </x:c>
      <x:c r="I8" t="str">
        <x:v>Lesson 2; printed p. 14</x:v>
      </x:c>
      <x:c r="J8" t="str">
        <x:v>stage1-v1.0</x:v>
      </x:c>
    </x:row>
    <x:row r="9">
      <x:c r="A9" t="str">
        <x:v>53cfbd91-411d-4bcb-b701-97c6c57e0ac1</x:v>
      </x:c>
      <x:c r="B9" t="str">
        <x:v>L02-S04</x:v>
      </x:c>
      <x:c r="C9" t="str">
        <x:v>734f4892-3926-439e-b274-85e9d824e225</x:v>
      </x:c>
      <x:c r="D9" t="str">
        <x:v>2</x:v>
      </x:c>
      <x:c r="E9" t="str">
        <x:v>L’ADJECTIF (1)</x:v>
      </x:c>
      <x:c r="F9" t="str">
        <x:v>Accord avec les pronoms sujets</x:v>
      </x:c>
      <x:c r="G9" t="str">
        <x:v>توافق صفت با ضمیر فاعلی</x:v>
      </x:c>
      <x:c r="H9" t="str">
        <x:v>صفت با جنس و شمار مرجعِ ضمیر فاعلی توافق می‌کند.</x:v>
      </x:c>
      <x:c r="I9" t="str">
        <x:v>Lesson 2; printed p. 16</x:v>
      </x:c>
      <x:c r="J9" t="str">
        <x:v>stage1-v1.0</x:v>
      </x:c>
    </x:row>
    <x:row r="10">
      <x:c r="A10" t="str">
        <x:v>7ca4d245-9960-48fb-b779-d85046b52961</x:v>
      </x:c>
      <x:c r="B10" t="str">
        <x:v>L03-S01</x:v>
      </x:c>
      <x:c r="C10" t="str">
        <x:v>3dd22b4a-1072-4ca6-91c1-662829b94758</x:v>
      </x:c>
      <x:c r="D10" t="str">
        <x:v>3</x:v>
      </x:c>
      <x:c r="E10" t="str">
        <x:v>LA NÉGATION et L’INTERROGATION (1)</x:v>
      </x:c>
      <x:c r="F10" t="str">
        <x:v>Négation simple « ne…pas »</x:v>
      </x:c>
      <x:c r="G10" t="str">
        <x:v>نفی ساده</x:v>
      </x:c>
      <x:c r="H10" t="str">
        <x:v>ne/n’ پیش از فعل و pas پس از فعل قرار می‌گیرد.</x:v>
      </x:c>
      <x:c r="I10" t="str">
        <x:v>Lesson 3; printed p. 18</x:v>
      </x:c>
      <x:c r="J10" t="str">
        <x:v>stage1-v1.0</x:v>
      </x:c>
    </x:row>
    <x:row r="11">
      <x:c r="A11" t="str">
        <x:v>e1392591-0f65-4287-8d6d-aeb9826b67a5</x:v>
      </x:c>
      <x:c r="B11" t="str">
        <x:v>L03-S02</x:v>
      </x:c>
      <x:c r="C11" t="str">
        <x:v>3dd22b4a-1072-4ca6-91c1-662829b94758</x:v>
      </x:c>
      <x:c r="D11" t="str">
        <x:v>3</x:v>
      </x:c>
      <x:c r="E11" t="str">
        <x:v>LA NÉGATION et L’INTERROGATION (1)</x:v>
      </x:c>
      <x:c r="F11" t="str">
        <x:v>Question simple</x:v>
      </x:c>
      <x:c r="G11" t="str">
        <x:v>پرسش بله/خیر ساده</x:v>
      </x:c>
      <x:c r="H11" t="str">
        <x:v>پرسش با آهنگ صعودی، est-ce que یا وارونگی ساخته می‌شود.</x:v>
      </x:c>
      <x:c r="I11" t="str">
        <x:v>Lesson 3; printed p. 18</x:v>
      </x:c>
      <x:c r="J11" t="str">
        <x:v>stage1-v1.0</x:v>
      </x:c>
    </x:row>
    <x:row r="12">
      <x:c r="A12" t="str">
        <x:v>cb45b2ca-159a-4875-992f-b07c6e98f9a2</x:v>
      </x:c>
      <x:c r="B12" t="str">
        <x:v>L03-S03</x:v>
      </x:c>
      <x:c r="C12" t="str">
        <x:v>3dd22b4a-1072-4ca6-91c1-662829b94758</x:v>
      </x:c>
      <x:c r="D12" t="str">
        <x:v>3</x:v>
      </x:c>
      <x:c r="E12" t="str">
        <x:v>LA NÉGATION et L’INTERROGATION (1)</x:v>
      </x:c>
      <x:c r="F12" t="str">
        <x:v>Réponses « oui/non/si »</x:v>
      </x:c>
      <x:c r="G12" t="str">
        <x:v>پاسخ‌های oui/non/si</x:v>
      </x:c>
      <x:c r="H12" t="str">
        <x:v>oui پاسخ مثبت، non پاسخ منفی و si پاسخ مثبت به پرسش منفی است.</x:v>
      </x:c>
      <x:c r="I12" t="str">
        <x:v>Lesson 3; printed p. 18</x:v>
      </x:c>
      <x:c r="J12" t="str">
        <x:v>stage1-v1.0</x:v>
      </x:c>
    </x:row>
    <x:row r="13">
      <x:c r="A13" t="str">
        <x:v>8e8888f4-b536-46fb-8037-8ce18d0065ae</x:v>
      </x:c>
      <x:c r="B13" t="str">
        <x:v>L04-S01</x:v>
      </x:c>
      <x:c r="C13" t="str">
        <x:v>26acbe21-6e4d-4c22-a0e6-27e27f3bb5ab</x:v>
      </x:c>
      <x:c r="D13" t="str">
        <x:v>4</x:v>
      </x:c>
      <x:c r="E13" t="str">
        <x:v>LE NOM et L’ARTICLE</x:v>
      </x:c>
      <x:c r="F13" t="str">
        <x:v>Genre des noms de personnes</x:v>
      </x:c>
      <x:c r="G13" t="str">
        <x:v>جنس اسم‌های اشخاص</x:v>
      </x:c>
      <x:c r="H13" t="str">
        <x:v>اسم‌های اشخاص غالباً صورت مذکر/مؤنث دارند.</x:v>
      </x:c>
      <x:c r="I13" t="str">
        <x:v>Lesson 4; printed p. 22</x:v>
      </x:c>
      <x:c r="J13" t="str">
        <x:v>stage1-v1.0</x:v>
      </x:c>
    </x:row>
    <x:row r="14">
      <x:c r="A14" t="str">
        <x:v>ecb6e1f4-bc7a-4c4c-9872-485edcf67183</x:v>
      </x:c>
      <x:c r="B14" t="str">
        <x:v>L04-S02</x:v>
      </x:c>
      <x:c r="C14" t="str">
        <x:v>26acbe21-6e4d-4c22-a0e6-27e27f3bb5ab</x:v>
      </x:c>
      <x:c r="D14" t="str">
        <x:v>4</x:v>
      </x:c>
      <x:c r="E14" t="str">
        <x:v>LE NOM et L’ARTICLE</x:v>
      </x:c>
      <x:c r="F14" t="str">
        <x:v>Genre des noms de choses</x:v>
      </x:c>
      <x:c r="G14" t="str">
        <x:v>جنس اسم اشیا</x:v>
      </x:c>
      <x:c r="H14" t="str">
        <x:v>جنس دستوری اسم اشیا باید همراه خود اسم آموخته شود.</x:v>
      </x:c>
      <x:c r="I14" t="str">
        <x:v>Lesson 4; printed p. 24</x:v>
      </x:c>
      <x:c r="J14" t="str">
        <x:v>stage1-v1.0</x:v>
      </x:c>
    </x:row>
    <x:row r="15">
      <x:c r="A15" t="str">
        <x:v>96319528-8f45-4bca-8b98-34eabd9eb01c</x:v>
      </x:c>
      <x:c r="B15" t="str">
        <x:v>L04-S03</x:v>
      </x:c>
      <x:c r="C15" t="str">
        <x:v>26acbe21-6e4d-4c22-a0e6-27e27f3bb5ab</x:v>
      </x:c>
      <x:c r="D15" t="str">
        <x:v>4</x:v>
      </x:c>
      <x:c r="E15" t="str">
        <x:v>LE NOM et L’ARTICLE</x:v>
      </x:c>
      <x:c r="F15" t="str">
        <x:v>Noms d’animaux</x:v>
      </x:c>
      <x:c r="G15" t="str">
        <x:v>اسم حیوانات</x:v>
      </x:c>
      <x:c r="H15" t="str">
        <x:v>نام حیوان می‌تواند زوج مذکر/مؤنث یا یک جنس دستوری ثابت داشته باشد.</x:v>
      </x:c>
      <x:c r="I15" t="str">
        <x:v>Lesson 4; printed p. 24</x:v>
      </x:c>
      <x:c r="J15" t="str">
        <x:v>stage1-v1.0</x:v>
      </x:c>
    </x:row>
    <x:row r="16">
      <x:c r="A16" t="str">
        <x:v>83867945-86de-4da1-a42b-8e80caccc1a9</x:v>
      </x:c>
      <x:c r="B16" t="str">
        <x:v>L04-S04</x:v>
      </x:c>
      <x:c r="C16" t="str">
        <x:v>26acbe21-6e4d-4c22-a0e6-27e27f3bb5ab</x:v>
      </x:c>
      <x:c r="D16" t="str">
        <x:v>4</x:v>
      </x:c>
      <x:c r="E16" t="str">
        <x:v>LE NOM et L’ARTICLE</x:v>
      </x:c>
      <x:c r="F16" t="str">
        <x:v>Pluriel des noms</x:v>
      </x:c>
      <x:c r="G16" t="str">
        <x:v>جمع اسم</x:v>
      </x:c>
      <x:c r="H16" t="str">
        <x:v>جمع اسم معمولاً با -s ساخته می‌شود.</x:v>
      </x:c>
      <x:c r="I16" t="str">
        <x:v>Lesson 4; printed p. 26</x:v>
      </x:c>
      <x:c r="J16" t="str">
        <x:v>stage1-v1.0</x:v>
      </x:c>
    </x:row>
    <x:row r="17">
      <x:c r="A17" t="str">
        <x:v>27a24db3-eb55-48b4-93d9-07ac1ae2630a</x:v>
      </x:c>
      <x:c r="B17" t="str">
        <x:v>L04-S05</x:v>
      </x:c>
      <x:c r="C17" t="str">
        <x:v>26acbe21-6e4d-4c22-a0e6-27e27f3bb5ab</x:v>
      </x:c>
      <x:c r="D17" t="str">
        <x:v>4</x:v>
      </x:c>
      <x:c r="E17" t="str">
        <x:v>LE NOM et L’ARTICLE</x:v>
      </x:c>
      <x:c r="F17" t="str">
        <x:v>Articles définis et indéfinis</x:v>
      </x:c>
      <x:c r="G17" t="str">
        <x:v>حروف تعریف معین و نامعین</x:v>
      </x:c>
      <x:c r="H17" t="str">
        <x:v>le/la/l’/les برای مرجع معین/کلی و un/une/des برای مرجع نامعین به‌کار می‌روند.</x:v>
      </x:c>
      <x:c r="I17" t="str">
        <x:v>Lesson 4; printed p. 28</x:v>
      </x:c>
      <x:c r="J17" t="str">
        <x:v>stage1-v1.0</x:v>
      </x:c>
    </x:row>
    <x:row r="18">
      <x:c r="A18" t="str">
        <x:v>17afb2dd-ce96-43fc-8494-c3dafbe6cbf3</x:v>
      </x:c>
      <x:c r="B18" t="str">
        <x:v>L04-S06</x:v>
      </x:c>
      <x:c r="C18" t="str">
        <x:v>26acbe21-6e4d-4c22-a0e6-27e27f3bb5ab</x:v>
      </x:c>
      <x:c r="D18" t="str">
        <x:v>4</x:v>
      </x:c>
      <x:c r="E18" t="str">
        <x:v>LE NOM et L’ARTICLE</x:v>
      </x:c>
      <x:c r="F18" t="str">
        <x:v>Articles contractés</x:v>
      </x:c>
      <x:c r="G18" t="str">
        <x:v>حروف تعریف ادغام‌شده</x:v>
      </x:c>
      <x:c r="H18" t="str">
        <x:v>à/de با le و les ادغام می‌شوند.</x:v>
      </x:c>
      <x:c r="I18" t="str">
        <x:v>Lesson 4; printed p. 30</x:v>
      </x:c>
      <x:c r="J18" t="str">
        <x:v>stage1-v1.0</x:v>
      </x:c>
    </x:row>
    <x:row r="19">
      <x:c r="A19" t="str">
        <x:v>48fc3ef7-585c-4558-8eb3-198bc875b4e6</x:v>
      </x:c>
      <x:c r="B19" t="str">
        <x:v>L05-S01</x:v>
      </x:c>
      <x:c r="C19" t="str">
        <x:v>99f46643-99ba-428d-bdaf-193d018572cc</x:v>
      </x:c>
      <x:c r="D19" t="str">
        <x:v>5</x:v>
      </x:c>
      <x:c r="E19" t="str">
        <x:v>« C’EST » et « IL EST »</x:v>
      </x:c>
      <x:c r="F19" t="str">
        <x:v>Identification avec « c’est/ce sont »</x:v>
      </x:c>
      <x:c r="G19" t="str">
        <x:v>شناسایی با c’est/ce sont</x:v>
      </x:c>
      <x:c r="H19" t="str">
        <x:v>c’est برای شناسایی/معرفی مفرد و ce sont برای جمع است.</x:v>
      </x:c>
      <x:c r="I19" t="str">
        <x:v>Lesson 5; printed p. 32</x:v>
      </x:c>
      <x:c r="J19" t="str">
        <x:v>stage1-v1.0</x:v>
      </x:c>
    </x:row>
    <x:row r="20">
      <x:c r="A20" t="str">
        <x:v>4019d2c2-969c-49a2-8aa3-291a74baf594</x:v>
      </x:c>
      <x:c r="B20" t="str">
        <x:v>L05-S02</x:v>
      </x:c>
      <x:c r="C20" t="str">
        <x:v>99f46643-99ba-428d-bdaf-193d018572cc</x:v>
      </x:c>
      <x:c r="D20" t="str">
        <x:v>5</x:v>
      </x:c>
      <x:c r="E20" t="str">
        <x:v>« C’EST » et « IL EST »</x:v>
      </x:c>
      <x:c r="F20" t="str">
        <x:v>Commentaire avec « il/elle est » et « c’est »</x:v>
      </x:c>
      <x:c r="G20" t="str">
        <x:v>توصیف و نظر کلی</x:v>
      </x:c>
      <x:c r="H20" t="str">
        <x:v>il/elle est + صفت مرجع مشخص را توصیف می‌کند؛ c’est + صفت نظر کلی می‌دهد.</x:v>
      </x:c>
      <x:c r="I20" t="str">
        <x:v>Lesson 5; printed p. 32</x:v>
      </x:c>
      <x:c r="J20" t="str">
        <x:v>stage1-v1.0</x:v>
      </x:c>
    </x:row>
    <x:row r="21">
      <x:c r="A21" t="str">
        <x:v>f02aa4a8-5693-4cc2-bf13-49d11a8dfe21</x:v>
      </x:c>
      <x:c r="B21" t="str">
        <x:v>L05-S03</x:v>
      </x:c>
      <x:c r="C21" t="str">
        <x:v>99f46643-99ba-428d-bdaf-193d018572cc</x:v>
      </x:c>
      <x:c r="D21" t="str">
        <x:v>5</x:v>
      </x:c>
      <x:c r="E21" t="str">
        <x:v>« C’EST » et « IL EST »</x:v>
      </x:c>
      <x:c r="F21" t="str">
        <x:v>Profession et absence d’article</x:v>
      </x:c>
      <x:c r="G21" t="str">
        <x:v>حرفه و حذف article</x:v>
      </x:c>
      <x:c r="H21" t="str">
        <x:v>پس از être، حرفه/ملیت/دین در کاربرد وصفی معمولاً بدون article می‌آید.</x:v>
      </x:c>
      <x:c r="I21" t="str">
        <x:v>Lesson 5; printed p. 34</x:v>
      </x:c>
      <x:c r="J21" t="str">
        <x:v>stage1-v1.0</x:v>
      </x:c>
    </x:row>
    <x:row r="22">
      <x:c r="A22" t="str">
        <x:v>84f75c42-d9c4-458e-8f6c-0203d4e6f8e6</x:v>
      </x:c>
      <x:c r="B22" t="str">
        <x:v>L05-S04</x:v>
      </x:c>
      <x:c r="C22" t="str">
        <x:v>99f46643-99ba-428d-bdaf-193d018572cc</x:v>
      </x:c>
      <x:c r="D22" t="str">
        <x:v>5</x:v>
      </x:c>
      <x:c r="E22" t="str">
        <x:v>« C’EST » et « IL EST »</x:v>
      </x:c>
      <x:c r="F22" t="str">
        <x:v>C’est + nom déterminé vs il est + adjectif/profession</x:v>
      </x:c>
      <x:c r="G22" t="str">
        <x:v>تمایز ساختاری c’est و il est</x:v>
      </x:c>
      <x:c r="H22" t="str">
        <x:v>c’est پیش از اسم تعیین‌شده و il est پیش از صفت یا حرفهٔ بدون article می‌آید.</x:v>
      </x:c>
      <x:c r="I22" t="str">
        <x:v>Lesson 5; printed p. 34</x:v>
      </x:c>
      <x:c r="J22" t="str">
        <x:v>stage1-v1.0</x:v>
      </x:c>
    </x:row>
    <x:row r="23">
      <x:c r="A23" t="str">
        <x:v>fc2d656b-5616-4b7a-944d-dafc63a02983</x:v>
      </x:c>
      <x:c r="B23" t="str">
        <x:v>L06-S01</x:v>
      </x:c>
      <x:c r="C23" t="str">
        <x:v>f07ba2d4-e9cf-441c-ad53-85194d85e1ff</x:v>
      </x:c>
      <x:c r="D23" t="str">
        <x:v>6</x:v>
      </x:c>
      <x:c r="E23" t="str">
        <x:v>LES POSSESSIFS</x:v>
      </x:c>
      <x:c r="F23" t="str">
        <x:v>Adjectifs possessifs</x:v>
      </x:c>
      <x:c r="G23" t="str">
        <x:v>صفات ملکی</x:v>
      </x:c>
      <x:c r="H23" t="str">
        <x:v>صفت ملکی با چیزِ مملوک از نظر جنس/شمار توافق می‌کند، نه با مالک.</x:v>
      </x:c>
      <x:c r="I23" t="str">
        <x:v>Lesson 6; printed p. 36</x:v>
      </x:c>
      <x:c r="J23" t="str">
        <x:v>stage1-v1.0</x:v>
      </x:c>
    </x:row>
    <x:row r="24">
      <x:c r="A24" t="str">
        <x:v>17ec231c-3ac8-4ecc-b28d-37c5b9c72b48</x:v>
      </x:c>
      <x:c r="B24" t="str">
        <x:v>L06-S02</x:v>
      </x:c>
      <x:c r="C24" t="str">
        <x:v>f07ba2d4-e9cf-441c-ad53-85194d85e1ff</x:v>
      </x:c>
      <x:c r="D24" t="str">
        <x:v>6</x:v>
      </x:c>
      <x:c r="E24" t="str">
        <x:v>LES POSSESSIFS</x:v>
      </x:c>
      <x:c r="F24" t="str">
        <x:v>Possessif devant voyelle</x:v>
      </x:c>
      <x:c r="G24" t="str">
        <x:v>ملکی پیش از واکه</x:v>
      </x:c>
      <x:c r="H24" t="str">
        <x:v>ma/ta/sa پیش از واکه یا h muet به mon/ton/son تبدیل می‌شود.</x:v>
      </x:c>
      <x:c r="I24" t="str">
        <x:v>Lesson 6; printed p. 36</x:v>
      </x:c>
      <x:c r="J24" t="str">
        <x:v>stage1-v1.0</x:v>
      </x:c>
    </x:row>
    <x:row r="25">
      <x:c r="A25" t="str">
        <x:v>d3e94c6e-66c3-4af9-b067-c84d7c7558ef</x:v>
      </x:c>
      <x:c r="B25" t="str">
        <x:v>L06-S03</x:v>
      </x:c>
      <x:c r="C25" t="str">
        <x:v>f07ba2d4-e9cf-441c-ad53-85194d85e1ff</x:v>
      </x:c>
      <x:c r="D25" t="str">
        <x:v>6</x:v>
      </x:c>
      <x:c r="E25" t="str">
        <x:v>LES POSSESSIFS</x:v>
      </x:c>
      <x:c r="F25" t="str">
        <x:v>Parties du corps et article défini</x:v>
      </x:c>
      <x:c r="G25" t="str">
        <x:v>اعضای بدن و article معین</x:v>
      </x:c>
      <x:c r="H25" t="str">
        <x:v>وقتی مالک از بافت روشن است، اعضای بدن معمولاً با article معین می‌آیند.</x:v>
      </x:c>
      <x:c r="I25" t="str">
        <x:v>Lesson 6; printed p. 36</x:v>
      </x:c>
      <x:c r="J25" t="str">
        <x:v>stage1-v1.0</x:v>
      </x:c>
    </x:row>
    <x:row r="26">
      <x:c r="A26" t="str">
        <x:v>d47a4036-ec23-4651-b55d-2aaf47072e47</x:v>
      </x:c>
      <x:c r="B26" t="str">
        <x:v>L06-S04</x:v>
      </x:c>
      <x:c r="C26" t="str">
        <x:v>f07ba2d4-e9cf-441c-ad53-85194d85e1ff</x:v>
      </x:c>
      <x:c r="D26" t="str">
        <x:v>6</x:v>
      </x:c>
      <x:c r="E26" t="str">
        <x:v>LES POSSESSIFS</x:v>
      </x:c>
      <x:c r="F26" t="str">
        <x:v>Pronoms possessifs</x:v>
      </x:c>
      <x:c r="G26" t="str">
        <x:v>ضمیرهای ملکی</x:v>
      </x:c>
      <x:c r="H26" t="str">
        <x:v>le mien/la mienne/les miens… جای اسم دارای رابطهٔ ملکی را می‌گیرند.</x:v>
      </x:c>
      <x:c r="I26" t="str">
        <x:v>Lesson 6; printed p. 36</x:v>
      </x:c>
      <x:c r="J26" t="str">
        <x:v>stage1-v1.0</x:v>
      </x:c>
    </x:row>
    <x:row r="27">
      <x:c r="A27" t="str">
        <x:v>51603058-dbbb-4109-8ac0-083ee583457e</x:v>
      </x:c>
      <x:c r="B27" t="str">
        <x:v>L07-S01</x:v>
      </x:c>
      <x:c r="C27" t="str">
        <x:v>4bf7f7a6-29e0-471a-8b5c-3740f60b5c8e</x:v>
      </x:c>
      <x:c r="D27" t="str">
        <x:v>7</x:v>
      </x:c>
      <x:c r="E27" t="str">
        <x:v>LES NOMS de PARENTÉ et de GROUPE</x:v>
      </x:c>
      <x:c r="F27" t="str">
        <x:v>Noms de parenté</x:v>
      </x:c>
      <x:c r="G27" t="str">
        <x:v>واژگان خویشاوندی</x:v>
      </x:c>
      <x:c r="H27" t="str">
        <x:v>واژگان خویشاوندی روابط خانوادگی و نسل‌ها را بیان می‌کنند.</x:v>
      </x:c>
      <x:c r="I27" t="str">
        <x:v>Lesson 7; printed p. 38</x:v>
      </x:c>
      <x:c r="J27" t="str">
        <x:v>stage1-v1.0</x:v>
      </x:c>
    </x:row>
    <x:row r="28">
      <x:c r="A28" t="str">
        <x:v>6fc2bc73-6743-4148-bbc3-269f4c7a6b4a</x:v>
      </x:c>
      <x:c r="B28" t="str">
        <x:v>L07-S02</x:v>
      </x:c>
      <x:c r="C28" t="str">
        <x:v>4bf7f7a6-29e0-471a-8b5c-3740f60b5c8e</x:v>
      </x:c>
      <x:c r="D28" t="str">
        <x:v>7</x:v>
      </x:c>
      <x:c r="E28" t="str">
        <x:v>LES NOMS de PARENTÉ et de GROUPE</x:v>
      </x:c>
      <x:c r="F28" t="str">
        <x:v>Belle-famille et famille recomposée</x:v>
      </x:c>
      <x:c r="G28" t="str">
        <x:v>نسبت‌های سببی</x:v>
      </x:c>
      <x:c r="H28" t="str">
        <x:v>beau-/belle- در نام‌های خانوادگی می‌تواند نسبت سببی یا در بافتی خاص ناپدری/نامادری را بیان کند.</x:v>
      </x:c>
      <x:c r="I28" t="str">
        <x:v>Lesson 7; printed p. 38</x:v>
      </x:c>
      <x:c r="J28" t="str">
        <x:v>stage1-v1.0</x:v>
      </x:c>
    </x:row>
    <x:row r="29">
      <x:c r="A29" t="str">
        <x:v>1f8da7b2-8ddd-4c97-ad9b-d7dd6596eaa9</x:v>
      </x:c>
      <x:c r="B29" t="str">
        <x:v>L07-S03</x:v>
      </x:c>
      <x:c r="C29" t="str">
        <x:v>4bf7f7a6-29e0-471a-8b5c-3740f60b5c8e</x:v>
      </x:c>
      <x:c r="D29" t="str">
        <x:v>7</x:v>
      </x:c>
      <x:c r="E29" t="str">
        <x:v>LES NOMS de PARENTÉ et de GROUPE</x:v>
      </x:c>
      <x:c r="F29" t="str">
        <x:v>Noms de groupe « gens/personnes/tout le monde »</x:v>
      </x:c>
      <x:c r="G29" t="str">
        <x:v>اسم‌های گروهی</x:v>
      </x:c>
      <x:c r="H29" t="str">
        <x:v>gens/personnes جمع‌اند اما tout le monde فعل مفرد می‌گیرد.</x:v>
      </x:c>
      <x:c r="I29" t="str">
        <x:v>Lesson 7; printed p. 38</x:v>
      </x:c>
      <x:c r="J29" t="str">
        <x:v>stage1-v1.0</x:v>
      </x:c>
    </x:row>
    <x:row r="30">
      <x:c r="A30" t="str">
        <x:v>5c5c4c0d-12b8-41aa-90a3-5b4a21fc46e0</x:v>
      </x:c>
      <x:c r="B30" t="str">
        <x:v>L07-S04</x:v>
      </x:c>
      <x:c r="C30" t="str">
        <x:v>4bf7f7a6-29e0-471a-8b5c-3740f60b5c8e</x:v>
      </x:c>
      <x:c r="D30" t="str">
        <x:v>7</x:v>
      </x:c>
      <x:c r="E30" t="str">
        <x:v>LES NOMS de PARENTÉ et de GROUPE</x:v>
      </x:c>
      <x:c r="F30" t="str">
        <x:v>« ami » selon le déterminant</x:v>
      </x:c>
      <x:c r="G30" t="str">
        <x:v>ami و تعیین‌کننده</x:v>
      </x:c>
      <x:c r="H30" t="str">
        <x:v>mon ami/mon amie می‌تواند به شریک عاطفی اشاره کند، اما un ami/un(e) amie معمولاً «دوست» است.</x:v>
      </x:c>
      <x:c r="I30" t="str">
        <x:v>Lesson 7; printed p. 38</x:v>
      </x:c>
      <x:c r="J30" t="str">
        <x:v>stage1-v1.0</x:v>
      </x:c>
    </x:row>
    <x:row r="31">
      <x:c r="A31" t="str">
        <x:v>acff182f-c807-47d7-a3f6-dad87efb8a3d</x:v>
      </x:c>
      <x:c r="B31" t="str">
        <x:v>L08-S01</x:v>
      </x:c>
      <x:c r="C31" t="str">
        <x:v>d68e9726-6d53-4ffb-935c-fd8f24aae9ec</x:v>
      </x:c>
      <x:c r="D31" t="str">
        <x:v>8</x:v>
      </x:c>
      <x:c r="E31" t="str">
        <x:v>LES DÉMONSTRATIFS</x:v>
      </x:c>
      <x:c r="F31" t="str">
        <x:v>Adjectifs démonstratifs</x:v>
      </x:c>
      <x:c r="G31" t="str">
        <x:v>صفات اشاره</x:v>
      </x:c>
      <x:c r="H31" t="str">
        <x:v>ce/cet/cette/ces برای اشاره به شخص یا شیء به‌کار می‌روند.</x:v>
      </x:c>
      <x:c r="I31" t="str">
        <x:v>Lesson 8; printed p. 40</x:v>
      </x:c>
      <x:c r="J31" t="str">
        <x:v>stage1-v1.0</x:v>
      </x:c>
    </x:row>
    <x:row r="32">
      <x:c r="A32" t="str">
        <x:v>3997b6e8-8ab6-4d34-8e8c-09f905a118b4</x:v>
      </x:c>
      <x:c r="B32" t="str">
        <x:v>L08-S02</x:v>
      </x:c>
      <x:c r="C32" t="str">
        <x:v>d68e9726-6d53-4ffb-935c-fd8f24aae9ec</x:v>
      </x:c>
      <x:c r="D32" t="str">
        <x:v>8</x:v>
      </x:c>
      <x:c r="E32" t="str">
        <x:v>LES DÉMONSTRATIFS</x:v>
      </x:c>
      <x:c r="F32" t="str">
        <x:v>Temps avec démonstratifs</x:v>
      </x:c>
      <x:c r="G32" t="str">
        <x:v>اشارهٔ زمانی</x:v>
      </x:c>
      <x:c r="H32" t="str">
        <x:v>ce/cette برای بازه‌های زمانی جاری/نزدیک به‌کار می‌رود.</x:v>
      </x:c>
      <x:c r="I32" t="str">
        <x:v>Lesson 8; printed p. 40</x:v>
      </x:c>
      <x:c r="J32" t="str">
        <x:v>stage1-v1.0</x:v>
      </x:c>
    </x:row>
    <x:row r="33">
      <x:c r="A33" t="str">
        <x:v>cab365d0-927e-432e-ae0a-315a3dbf8e0f</x:v>
      </x:c>
      <x:c r="B33" t="str">
        <x:v>L08-S03</x:v>
      </x:c>
      <x:c r="C33" t="str">
        <x:v>d68e9726-6d53-4ffb-935c-fd8f24aae9ec</x:v>
      </x:c>
      <x:c r="D33" t="str">
        <x:v>8</x:v>
      </x:c>
      <x:c r="E33" t="str">
        <x:v>LES DÉMONSTRATIFS</x:v>
      </x:c>
      <x:c r="F33" t="str">
        <x:v>Pronoms démonstratifs</x:v>
      </x:c>
      <x:c r="G33" t="str">
        <x:v>ضمیرهای اشاره</x:v>
      </x:c>
      <x:c r="H33" t="str">
        <x:v>celui/celle/ceux/celles برای جلوگیری از تکرار اسم‌اند.</x:v>
      </x:c>
      <x:c r="I33" t="str">
        <x:v>Lesson 8; printed p. 40</x:v>
      </x:c>
      <x:c r="J33" t="str">
        <x:v>stage1-v1.0</x:v>
      </x:c>
    </x:row>
    <x:row r="34">
      <x:c r="A34" t="str">
        <x:v>1b06d9b7-8b02-4b8f-946d-867c3d57112f</x:v>
      </x:c>
      <x:c r="B34" t="str">
        <x:v>L08-S04</x:v>
      </x:c>
      <x:c r="C34" t="str">
        <x:v>d68e9726-6d53-4ffb-935c-fd8f24aae9ec</x:v>
      </x:c>
      <x:c r="D34" t="str">
        <x:v>8</x:v>
      </x:c>
      <x:c r="E34" t="str">
        <x:v>LES DÉMONSTRATIFS</x:v>
      </x:c>
      <x:c r="F34" t="str">
        <x:v>Liaison des démonstratifs</x:v>
      </x:c>
      <x:c r="G34" t="str">
        <x:v>لیِزون در اشاره</x:v>
      </x:c>
      <x:c r="H34" t="str">
        <x:v>پیش از واکه یا h muet liaison در ساخت‌های مناسب انجام می‌شود.</x:v>
      </x:c>
      <x:c r="I34" t="str">
        <x:v>Lesson 8; printed p. 40</x:v>
      </x:c>
      <x:c r="J34" t="str">
        <x:v>stage1-v1.0</x:v>
      </x:c>
    </x:row>
    <x:row r="35">
      <x:c r="A35" t="str">
        <x:v>ba8cf05e-4afe-4e59-88f4-3b9f6aa9a0b4</x:v>
      </x:c>
      <x:c r="B35" t="str">
        <x:v>L09-S01</x:v>
      </x:c>
      <x:c r="C35" t="str">
        <x:v>3a93c97f-cdce-4896-98be-892e3354b7fc</x:v>
      </x:c>
      <x:c r="D35" t="str">
        <x:v>9</x:v>
      </x:c>
      <x:c r="E35" t="str">
        <x:v>« IL Y A » et « C’EST »</x:v>
      </x:c>
      <x:c r="F35" t="str">
        <x:v>Existence avec « il y a »</x:v>
      </x:c>
      <x:c r="G35" t="str">
        <x:v>بیان وجود</x:v>
      </x:c>
      <x:c r="H35" t="str">
        <x:v>il y a وجود شخص/شیء را معرفی می‌کند.</x:v>
      </x:c>
      <x:c r="I35" t="str">
        <x:v>Lesson 9; printed p. 42</x:v>
      </x:c>
      <x:c r="J35" t="str">
        <x:v>stage1-v1.0</x:v>
      </x:c>
    </x:row>
    <x:row r="36">
      <x:c r="A36" t="str">
        <x:v>0c3af28d-4e6c-4ff6-92d5-b494d6af3646</x:v>
      </x:c>
      <x:c r="B36" t="str">
        <x:v>L09-S02</x:v>
      </x:c>
      <x:c r="C36" t="str">
        <x:v>3a93c97f-cdce-4896-98be-892e3354b7fc</x:v>
      </x:c>
      <x:c r="D36" t="str">
        <x:v>9</x:v>
      </x:c>
      <x:c r="E36" t="str">
        <x:v>« IL Y A » et « C’EST »</x:v>
      </x:c>
      <x:c r="F36" t="str">
        <x:v>Identification après existence</x:v>
      </x:c>
      <x:c r="G36" t="str">
        <x:v>شناسایی پس از معرفی</x:v>
      </x:c>
      <x:c r="H36" t="str">
        <x:v>c’est/ce sont مرجعی را که حاضر یا قبلاً معرفی شده شناسایی می‌کند.</x:v>
      </x:c>
      <x:c r="I36" t="str">
        <x:v>Lesson 9; printed p. 42</x:v>
      </x:c>
      <x:c r="J36" t="str">
        <x:v>stage1-v1.0</x:v>
      </x:c>
    </x:row>
    <x:row r="37">
      <x:c r="A37" t="str">
        <x:v>7f509143-7930-4646-bf90-37ce52cf935d</x:v>
      </x:c>
      <x:c r="B37" t="str">
        <x:v>L10-S01</x:v>
      </x:c>
      <x:c r="C37" t="str">
        <x:v>988143e8-7e0e-46e1-94a0-f87f7a1267f5</x:v>
      </x:c>
      <x:c r="D37" t="str">
        <x:v>10</x:v>
      </x:c>
      <x:c r="E37" t="str">
        <x:v>LA SITUATION dans l’ESPACE (1)</x:v>
      </x:c>
      <x:c r="F37" t="str">
        <x:v>Villes, pays et continents</x:v>
      </x:c>
      <x:c r="G37" t="str">
        <x:v>شهر/کشور/قاره</x:v>
      </x:c>
      <x:c r="H37" t="str">
        <x:v>شهرها معمولاً بدون article و کشورها/قاره‌ها معمولاً با article می‌آیند.</x:v>
      </x:c>
      <x:c r="I37" t="str">
        <x:v>Lesson 10; printed p. 44</x:v>
      </x:c>
      <x:c r="J37" t="str">
        <x:v>stage1-v1.0</x:v>
      </x:c>
    </x:row>
    <x:row r="38">
      <x:c r="A38" t="str">
        <x:v>e92221b8-33aa-4278-a380-ba4c39503dbc</x:v>
      </x:c>
      <x:c r="B38" t="str">
        <x:v>L10-S02</x:v>
      </x:c>
      <x:c r="C38" t="str">
        <x:v>988143e8-7e0e-46e1-94a0-f87f7a1267f5</x:v>
      </x:c>
      <x:c r="D38" t="str">
        <x:v>10</x:v>
      </x:c>
      <x:c r="E38" t="str">
        <x:v>LA SITUATION dans l’ESPACE (1)</x:v>
      </x:c>
      <x:c r="F38" t="str">
        <x:v>Prépositions de lieu avec villes/pays</x:v>
      </x:c>
      <x:c r="G38" t="str">
        <x:v>حروف اضافهٔ مکان جغرافیایی</x:v>
      </x:c>
      <x:c r="H38" t="str">
        <x:v>à برای شهر، en برای کشور مؤنث/قاره، au برای کشور مذکر و aux برای جمع است.</x:v>
      </x:c>
      <x:c r="I38" t="str">
        <x:v>Lesson 10; printed p. 44</x:v>
      </x:c>
      <x:c r="J38" t="str">
        <x:v>stage1-v1.0</x:v>
      </x:c>
    </x:row>
    <x:row r="39">
      <x:c r="A39" t="str">
        <x:v>5f70451b-f7fb-4f03-85f3-1c5ee59fbc3d</x:v>
      </x:c>
      <x:c r="B39" t="str">
        <x:v>L10-S03</x:v>
      </x:c>
      <x:c r="C39" t="str">
        <x:v>988143e8-7e0e-46e1-94a0-f87f7a1267f5</x:v>
      </x:c>
      <x:c r="D39" t="str">
        <x:v>10</x:v>
      </x:c>
      <x:c r="E39" t="str">
        <x:v>LA SITUATION dans l’ESPACE (1)</x:v>
      </x:c>
      <x:c r="F39" t="str">
        <x:v>« dans/sur/sous »</x:v>
      </x:c>
      <x:c r="G39" t="str">
        <x:v>dans/sur/sous</x:v>
      </x:c>
      <x:c r="H39" t="str">
        <x:v>dans فضای درون، sur سطح و sous زیر را بیان می‌کند.</x:v>
      </x:c>
      <x:c r="I39" t="str">
        <x:v>Lesson 10; printed p. 46</x:v>
      </x:c>
      <x:c r="J39" t="str">
        <x:v>stage1-v1.0</x:v>
      </x:c>
    </x:row>
    <x:row r="40">
      <x:c r="A40" t="str">
        <x:v>9a0d317d-69fe-48cb-a587-46d053de2165</x:v>
      </x:c>
      <x:c r="B40" t="str">
        <x:v>L10-S04</x:v>
      </x:c>
      <x:c r="C40" t="str">
        <x:v>988143e8-7e0e-46e1-94a0-f87f7a1267f5</x:v>
      </x:c>
      <x:c r="D40" t="str">
        <x:v>10</x:v>
      </x:c>
      <x:c r="E40" t="str">
        <x:v>LA SITUATION dans l’ESPACE (1)</x:v>
      </x:c>
      <x:c r="F40" t="str">
        <x:v>Position verticale « au-dessus/au-dessous »</x:v>
      </x:c>
      <x:c r="G40" t="str">
        <x:v>بالا/پایین مکانی</x:v>
      </x:c>
      <x:c r="H40" t="str">
        <x:v>au-dessus de و au-dessous de نسبت عمودی را بیان می‌کنند.</x:v>
      </x:c>
      <x:c r="I40" t="str">
        <x:v>Lesson 10; printed p. 46</x:v>
      </x:c>
      <x:c r="J40" t="str">
        <x:v>stage1-v1.0</x:v>
      </x:c>
    </x:row>
    <x:row r="41">
      <x:c r="A41" t="str">
        <x:v>7579d8b6-2928-4465-8cbd-6d0b4f7ca84a</x:v>
      </x:c>
      <x:c r="B41" t="str">
        <x:v>L10-S05</x:v>
      </x:c>
      <x:c r="C41" t="str">
        <x:v>988143e8-7e0e-46e1-94a0-f87f7a1267f5</x:v>
      </x:c>
      <x:c r="D41" t="str">
        <x:v>10</x:v>
      </x:c>
      <x:c r="E41" t="str">
        <x:v>LA SITUATION dans l’ESPACE (1)</x:v>
      </x:c>
      <x:c r="F41" t="str">
        <x:v>Proximité et distance</x:v>
      </x:c>
      <x:c r="G41" t="str">
        <x:v>نزدیکی/دوری</x:v>
      </x:c>
      <x:c r="H41" t="str">
        <x:v>à côté de و près de نزدیکی و loin de فاصله را بیان می‌کنند.</x:v>
      </x:c>
      <x:c r="I41" t="str">
        <x:v>Lesson 10; printed p. 46</x:v>
      </x:c>
      <x:c r="J41" t="str">
        <x:v>stage1-v1.0</x:v>
      </x:c>
    </x:row>
    <x:row r="42">
      <x:c r="A42" t="str">
        <x:v>f02cdde5-524e-4d25-ae5c-c1c508cc5499</x:v>
      </x:c>
      <x:c r="B42" t="str">
        <x:v>L11-S01</x:v>
      </x:c>
      <x:c r="C42" t="str">
        <x:v>a02fe5a3-8336-4749-8b93-f43d0a82948a</x:v>
      </x:c>
      <x:c r="D42" t="str">
        <x:v>11</x:v>
      </x:c>
      <x:c r="E42" t="str">
        <x:v>LE VERBE « AVOIR »</x:v>
      </x:c>
      <x:c r="F42" t="str">
        <x:v>Conjugaison de « avoir »</x:v>
      </x:c>
      <x:c r="G42" t="str">
        <x:v>صرف avoir</x:v>
      </x:c>
      <x:c r="H42" t="str">
        <x:v>avoir در زمان حال ai, as, a, avons, avez, ont دارد.</x:v>
      </x:c>
      <x:c r="I42" t="str">
        <x:v>Lesson 11; printed p. 48</x:v>
      </x:c>
      <x:c r="J42" t="str">
        <x:v>stage1-v1.0</x:v>
      </x:c>
    </x:row>
    <x:row r="43">
      <x:c r="A43" t="str">
        <x:v>ba5c0ee7-791f-4e68-8eae-b280aa06fbd0</x:v>
      </x:c>
      <x:c r="B43" t="str">
        <x:v>L11-S02</x:v>
      </x:c>
      <x:c r="C43" t="str">
        <x:v>a02fe5a3-8336-4749-8b93-f43d0a82948a</x:v>
      </x:c>
      <x:c r="D43" t="str">
        <x:v>11</x:v>
      </x:c>
      <x:c r="E43" t="str">
        <x:v>LE VERBE « AVOIR »</x:v>
      </x:c>
      <x:c r="F43" t="str">
        <x:v>Âge avec « avoir »</x:v>
      </x:c>
      <x:c r="G43" t="str">
        <x:v>سن با avoir</x:v>
      </x:c>
      <x:c r="H43" t="str">
        <x:v>برای سن از avoir + عدد استفاده می‌شود، نه être.</x:v>
      </x:c>
      <x:c r="I43" t="str">
        <x:v>Lesson 11; printed p. 48</x:v>
      </x:c>
      <x:c r="J43" t="str">
        <x:v>stage1-v1.0</x:v>
      </x:c>
    </x:row>
    <x:row r="44">
      <x:c r="A44" t="str">
        <x:v>c0efa701-3565-4361-8c0a-725c466f0635</x:v>
      </x:c>
      <x:c r="B44" t="str">
        <x:v>L11-S03</x:v>
      </x:c>
      <x:c r="C44" t="str">
        <x:v>a02fe5a3-8336-4749-8b93-f43d0a82948a</x:v>
      </x:c>
      <x:c r="D44" t="str">
        <x:v>11</x:v>
      </x:c>
      <x:c r="E44" t="str">
        <x:v>LE VERBE « AVOIR »</x:v>
      </x:c>
      <x:c r="F44" t="str">
        <x:v>Sensations et besoins avec « avoir »</x:v>
      </x:c>
      <x:c r="G44" t="str">
        <x:v>حالت‌ها و نیازها</x:v>
      </x:c>
      <x:c r="H44" t="str">
        <x:v>avoir + nom بدون article در ساخت‌هایی مانند faim, froid, peur و نیز besoin de/envie de می‌آید.</x:v>
      </x:c>
      <x:c r="I44" t="str">
        <x:v>Lesson 11; printed p. 48</x:v>
      </x:c>
      <x:c r="J44" t="str">
        <x:v>stage1-v1.0</x:v>
      </x:c>
    </x:row>
    <x:row r="45">
      <x:c r="A45" t="str">
        <x:v>224a9f05-eed1-4723-9c9b-c985ec49398e</x:v>
      </x:c>
      <x:c r="B45" t="str">
        <x:v>L11-S04</x:v>
      </x:c>
      <x:c r="C45" t="str">
        <x:v>a02fe5a3-8336-4749-8b93-f43d0a82948a</x:v>
      </x:c>
      <x:c r="D45" t="str">
        <x:v>11</x:v>
      </x:c>
      <x:c r="E45" t="str">
        <x:v>LE VERBE « AVOIR »</x:v>
      </x:c>
      <x:c r="F45" t="str">
        <x:v>Description physique avec « avoir »</x:v>
      </x:c>
      <x:c r="G45" t="str">
        <x:v>ویژگی ظاهری</x:v>
      </x:c>
      <x:c r="H45" t="str">
        <x:v>برای چشم/مو و برخی ویژگی‌های بدنی، avoir + article défini + nom + adjectif رایج است.</x:v>
      </x:c>
      <x:c r="I45" t="str">
        <x:v>Lesson 11; printed p. 50</x:v>
      </x:c>
      <x:c r="J45" t="str">
        <x:v>stage1-v1.0</x:v>
      </x:c>
    </x:row>
    <x:row r="46">
      <x:c r="A46" t="str">
        <x:v>b8c73313-81f9-459c-84cd-96f8df05f750</x:v>
      </x:c>
      <x:c r="B46" t="str">
        <x:v>L11-S05</x:v>
      </x:c>
      <x:c r="C46" t="str">
        <x:v>a02fe5a3-8336-4749-8b93-f43d0a82948a</x:v>
      </x:c>
      <x:c r="D46" t="str">
        <x:v>11</x:v>
      </x:c>
      <x:c r="E46" t="str">
        <x:v>LE VERBE « AVOIR »</x:v>
      </x:c>
      <x:c r="F46" t="str">
        <x:v>Locutions avec « avoir »</x:v>
      </x:c>
      <x:c r="G46" t="str">
        <x:v>عبارت‌های ثابت avoir</x:v>
      </x:c>
      <x:c r="H46" t="str">
        <x:v>avoir le temps de, l’intention de, du mal à, l’habitude de, l’occasion de و مانند آن واحدهای تثبیت‌شده‌اند.</x:v>
      </x:c>
      <x:c r="I46" t="str">
        <x:v>Lesson 11; printed p. 50</x:v>
      </x:c>
      <x:c r="J46" t="str">
        <x:v>stage1-v1.0</x:v>
      </x:c>
    </x:row>
    <x:row r="47">
      <x:c r="A47" t="str">
        <x:v>7d3f306f-3e56-4739-9aa5-957d40a0870b</x:v>
      </x:c>
      <x:c r="B47" t="str">
        <x:v>L11-S06</x:v>
      </x:c>
      <x:c r="C47" t="str">
        <x:v>a02fe5a3-8336-4749-8b93-f43d0a82948a</x:v>
      </x:c>
      <x:c r="D47" t="str">
        <x:v>11</x:v>
      </x:c>
      <x:c r="E47" t="str">
        <x:v>LE VERBE « AVOIR »</x:v>
      </x:c>
      <x:c r="F47" t="str">
        <x:v>Négation de l’article</x:v>
      </x:c>
      <x:c r="G47" t="str">
        <x:v>نفی article نامعین</x:v>
      </x:c>
      <x:c r="H47" t="str">
        <x:v>در نفی، un/une/des معمولاً به de تبدیل می‌شوند.</x:v>
      </x:c>
      <x:c r="I47" t="str">
        <x:v>Lesson 11; printed p. 50</x:v>
      </x:c>
      <x:c r="J47" t="str">
        <x:v>stage1-v1.0</x:v>
      </x:c>
    </x:row>
    <x:row r="48">
      <x:c r="A48" t="str">
        <x:v>e94a7c1d-5d07-47e8-a918-0bae05db0f16</x:v>
      </x:c>
      <x:c r="B48" t="str">
        <x:v>L12-S01</x:v>
      </x:c>
      <x:c r="C48" t="str">
        <x:v>ec78c6b7-50f2-4fcf-8ecd-63c1a84e5e41</x:v>
      </x:c>
      <x:c r="D48" t="str">
        <x:v>12</x:v>
      </x:c>
      <x:c r="E48" t="str">
        <x:v>L’ADJECTIF (2)</x:v>
      </x:c>
      <x:c r="F48" t="str">
        <x:v>Place générale de l’adjectif</x:v>
      </x:c>
      <x:c r="G48" t="str">
        <x:v>جایگاه عمومی صفت</x:v>
      </x:c>
      <x:c r="H48" t="str">
        <x:v>اکثر صفات پس از اسم می‌آیند؛ گروهی از صفات کوتاه و رایج پیش از اسم‌اند.</x:v>
      </x:c>
      <x:c r="I48" t="str">
        <x:v>Lesson 12; printed p. 54</x:v>
      </x:c>
      <x:c r="J48" t="str">
        <x:v>stage1-v1.0</x:v>
      </x:c>
    </x:row>
    <x:row r="49">
      <x:c r="A49" t="str">
        <x:v>def8aafa-2017-4ac8-9eb4-d0d0e271cf9b</x:v>
      </x:c>
      <x:c r="B49" t="str">
        <x:v>L12-S02</x:v>
      </x:c>
      <x:c r="C49" t="str">
        <x:v>ec78c6b7-50f2-4fcf-8ecd-63c1a84e5e41</x:v>
      </x:c>
      <x:c r="D49" t="str">
        <x:v>12</x:v>
      </x:c>
      <x:c r="E49" t="str">
        <x:v>L’ADJECTIF (2)</x:v>
      </x:c>
      <x:c r="F49" t="str">
        <x:v>Adjectifs fréquents avant le nom</x:v>
      </x:c>
      <x:c r="G49" t="str">
        <x:v>صفات پیش‌اسمی رایج</x:v>
      </x:c>
      <x:c r="H49" t="str">
        <x:v>beau, joli, bon, mauvais, petit, grand, gros, nouveau, jeune, vieux و چند مورد دیگر معمولاً پیش از اسم می‌آیند.</x:v>
      </x:c>
      <x:c r="I49" t="str">
        <x:v>Lesson 12; printed p. 54</x:v>
      </x:c>
      <x:c r="J49" t="str">
        <x:v>stage1-v1.0</x:v>
      </x:c>
    </x:row>
    <x:row r="50">
      <x:c r="A50" t="str">
        <x:v>d15e657e-5845-4e81-8dcd-9b9f7df8cc27</x:v>
      </x:c>
      <x:c r="B50" t="str">
        <x:v>L12-S03</x:v>
      </x:c>
      <x:c r="C50" t="str">
        <x:v>ec78c6b7-50f2-4fcf-8ecd-63c1a84e5e41</x:v>
      </x:c>
      <x:c r="D50" t="str">
        <x:v>12</x:v>
      </x:c>
      <x:c r="E50" t="str">
        <x:v>L’ADJECTIF (2)</x:v>
      </x:c>
      <x:c r="F50" t="str">
        <x:v>Premier/dernier/prochain</x:v>
      </x:c>
      <x:c r="G50" t="str">
        <x:v>premier/dernier/prochain</x:v>
      </x:c>
      <x:c r="H50" t="str">
        <x:v>در سری/ترتیب این صفات می‌توانند پیش از اسم باشند؛ در تاریخ‌ها dernier/prochain بعد از اسم می‌آیند.</x:v>
      </x:c>
      <x:c r="I50" t="str">
        <x:v>Lesson 12; printed p. 54</x:v>
      </x:c>
      <x:c r="J50" t="str">
        <x:v>stage1-v1.0</x:v>
      </x:c>
    </x:row>
    <x:row r="51">
      <x:c r="A51" t="str">
        <x:v>f828a7d6-7b06-4c54-bc7a-f95fd56abd73</x:v>
      </x:c>
      <x:c r="B51" t="str">
        <x:v>L12-S04</x:v>
      </x:c>
      <x:c r="C51" t="str">
        <x:v>ec78c6b7-50f2-4fcf-8ecd-63c1a84e5e41</x:v>
      </x:c>
      <x:c r="D51" t="str">
        <x:v>12</x:v>
      </x:c>
      <x:c r="E51" t="str">
        <x:v>L’ADJECTIF (2)</x:v>
      </x:c>
      <x:c r="F51" t="str">
        <x:v>Bel/vieil/nouvel</x:v>
      </x:c>
      <x:c r="G51" t="str">
        <x:v>bel/vieil/nouvel</x:v>
      </x:c>
      <x:c r="H51" t="str">
        <x:v>beau/vieux/nouveau پیش از واکه یا h muet به bel/vieil/nouvel تبدیل می‌شوند.</x:v>
      </x:c>
      <x:c r="I51" t="str">
        <x:v>Lesson 12; printed p. 54</x:v>
      </x:c>
      <x:c r="J51" t="str">
        <x:v>stage1-v1.0</x:v>
      </x:c>
    </x:row>
    <x:row r="52">
      <x:c r="A52" t="str">
        <x:v>bfec7ca9-4e46-4446-ada5-4b04e1117b5a</x:v>
      </x:c>
      <x:c r="B52" t="str">
        <x:v>L12-S05</x:v>
      </x:c>
      <x:c r="C52" t="str">
        <x:v>ec78c6b7-50f2-4fcf-8ecd-63c1a84e5e41</x:v>
      </x:c>
      <x:c r="D52" t="str">
        <x:v>12</x:v>
      </x:c>
      <x:c r="E52" t="str">
        <x:v>L’ADJECTIF (2)</x:v>
      </x:c>
      <x:c r="F52" t="str">
        <x:v>« des » → « de » devant adjectif antéposé</x:v>
      </x:c>
      <x:c r="G52" t="str">
        <x:v>des به de</x:v>
      </x:c>
      <x:c r="H52" t="str">
        <x:v>در جمع نامعین، des پیش از صفت مقدم معمولاً به de تبدیل می‌شود.</x:v>
      </x:c>
      <x:c r="I52" t="str">
        <x:v>Lesson 12; printed p. 54</x:v>
      </x:c>
      <x:c r="J52" t="str">
        <x:v>stage1-v1.0</x:v>
      </x:c>
    </x:row>
    <x:row r="53">
      <x:c r="A53" t="str">
        <x:v>acc0a8be-8e0b-43f3-9059-d7e5eab9effd</x:v>
      </x:c>
      <x:c r="B53" t="str">
        <x:v>L12-S06</x:v>
      </x:c>
      <x:c r="C53" t="str">
        <x:v>ec78c6b7-50f2-4fcf-8ecd-63c1a84e5e41</x:v>
      </x:c>
      <x:c r="D53" t="str">
        <x:v>12</x:v>
      </x:c>
      <x:c r="E53" t="str">
        <x:v>L’ADJECTIF (2)</x:v>
      </x:c>
      <x:c r="F53" t="str">
        <x:v>Sens selon la place</x:v>
      </x:c>
      <x:c r="G53" t="str">
        <x:v>معنای صفت بر اساس جایگاه</x:v>
      </x:c>
      <x:c r="H53" t="str">
        <x:v>برخی صفات با تغییر جایگاه معنای متفاوت یا ذهنی‌تر/عینی‌تر می‌گیرند.</x:v>
      </x:c>
      <x:c r="I53" t="str">
        <x:v>Lesson 12; printed p. 56</x:v>
      </x:c>
      <x:c r="J53" t="str">
        <x:v>stage1-v1.0</x:v>
      </x:c>
    </x:row>
    <x:row r="54">
      <x:c r="A54" t="str">
        <x:v>dc65aed1-990e-41ac-82c1-4d9c88190ab9</x:v>
      </x:c>
      <x:c r="B54" t="str">
        <x:v>L12-S07</x:v>
      </x:c>
      <x:c r="C54" t="str">
        <x:v>ec78c6b7-50f2-4fcf-8ecd-63c1a84e5e41</x:v>
      </x:c>
      <x:c r="D54" t="str">
        <x:v>12</x:v>
      </x:c>
      <x:c r="E54" t="str">
        <x:v>L’ADJECTIF (2)</x:v>
      </x:c>
      <x:c r="F54" t="str">
        <x:v>« neuf » vs « nouveau »</x:v>
      </x:c>
      <x:c r="G54" t="str">
        <x:v>neuf در برابر nouveau</x:v>
      </x:c>
      <x:c r="H54" t="str">
        <x:v>neuf «تازه‌ساخته/استفاده‌نشده» و معمولاً پس از اسم؛ nouveau «جدید نسبت به قبلی» و پیش از اسم است.</x:v>
      </x:c>
      <x:c r="I54" t="str">
        <x:v>Lesson 12; printed p. 56</x:v>
      </x:c>
      <x:c r="J54" t="str">
        <x:v>stage1-v1.0</x:v>
      </x:c>
    </x:row>
    <x:row r="55">
      <x:c r="A55" t="str">
        <x:v>7905c739-017f-4158-b13c-79770fa4b478</x:v>
      </x:c>
      <x:c r="B55" t="str">
        <x:v>L13-S01</x:v>
      </x:c>
      <x:c r="C55" t="str">
        <x:v>99f4cbed-373c-4bf4-affd-8eda53373a56</x:v>
      </x:c>
      <x:c r="D55" t="str">
        <x:v>13</x:v>
      </x:c>
      <x:c r="E55" t="str">
        <x:v>LES NOMBRES</x:v>
      </x:c>
      <x:c r="F55" t="str">
        <x:v>Nombres cardinaux</x:v>
      </x:c>
      <x:c r="G55" t="str">
        <x:v>اعداد اصلی</x:v>
      </x:c>
      <x:c r="H55" t="str">
        <x:v>اعداد اصلی برای شمارش و مقدار به‌کار می‌روند.</x:v>
      </x:c>
      <x:c r="I55" t="str">
        <x:v>Lesson 13; printed p. 58</x:v>
      </x:c>
      <x:c r="J55" t="str">
        <x:v>stage1-v1.0</x:v>
      </x:c>
    </x:row>
    <x:row r="56">
      <x:c r="A56" t="str">
        <x:v>499c8f23-9206-406e-bfdf-17c037f8cd83</x:v>
      </x:c>
      <x:c r="B56" t="str">
        <x:v>L13-S02</x:v>
      </x:c>
      <x:c r="C56" t="str">
        <x:v>99f4cbed-373c-4bf4-affd-8eda53373a56</x:v>
      </x:c>
      <x:c r="D56" t="str">
        <x:v>13</x:v>
      </x:c>
      <x:c r="E56" t="str">
        <x:v>LES NOMBRES</x:v>
      </x:c>
      <x:c r="F56" t="str">
        <x:v>Orthographe des nombres composés</x:v>
      </x:c>
      <x:c r="G56" t="str">
        <x:v>املای اعداد مرکب</x:v>
      </x:c>
      <x:c r="H56" t="str">
        <x:v>اعداد مرکب تا 100 با خط تیره نوشته می‌شوند و در 21/31/... الگوی et دیده می‌شود.</x:v>
      </x:c>
      <x:c r="I56" t="str">
        <x:v>Lesson 13; printed p. 60</x:v>
      </x:c>
      <x:c r="J56" t="str">
        <x:v>stage1-v1.0</x:v>
      </x:c>
    </x:row>
    <x:row r="57">
      <x:c r="A57" t="str">
        <x:v>7ed15aa0-40bc-4af9-a6db-2aaa411c21b2</x:v>
      </x:c>
      <x:c r="B57" t="str">
        <x:v>L13-S03</x:v>
      </x:c>
      <x:c r="C57" t="str">
        <x:v>99f4cbed-373c-4bf4-affd-8eda53373a56</x:v>
      </x:c>
      <x:c r="D57" t="str">
        <x:v>13</x:v>
      </x:c>
      <x:c r="E57" t="str">
        <x:v>LES NOMBRES</x:v>
      </x:c>
      <x:c r="F57" t="str">
        <x:v>Prononciation des nombres</x:v>
      </x:c>
      <x:c r="G57" t="str">
        <x:v>تلفظ اعداد</x:v>
      </x:c>
      <x:c r="H57" t="str">
        <x:v>همخوان پایانی برخی اعداد بسته به جایگاه و واژهٔ بعدی تلفظ یا حذف می‌شود.</x:v>
      </x:c>
      <x:c r="I57" t="str">
        <x:v>Lesson 13; printed p. 60</x:v>
      </x:c>
      <x:c r="J57" t="str">
        <x:v>stage1-v1.0</x:v>
      </x:c>
    </x:row>
    <x:row r="58">
      <x:c r="A58" t="str">
        <x:v>b9fa8bfb-169a-4d08-8225-a40edae8dc5e</x:v>
      </x:c>
      <x:c r="B58" t="str">
        <x:v>L13-S04</x:v>
      </x:c>
      <x:c r="C58" t="str">
        <x:v>99f4cbed-373c-4bf4-affd-8eda53373a56</x:v>
      </x:c>
      <x:c r="D58" t="str">
        <x:v>13</x:v>
      </x:c>
      <x:c r="E58" t="str">
        <x:v>LES NOMBRES</x:v>
      </x:c>
      <x:c r="F58" t="str">
        <x:v>Nombres ordinaux et fractions</x:v>
      </x:c>
      <x:c r="G58" t="str">
        <x:v>ترتیبی و کسر</x:v>
      </x:c>
      <x:c r="H58" t="str">
        <x:v>اعداد ترتیبی جایگاه در سری و demi/tiers/quart کسر را بیان می‌کنند.</x:v>
      </x:c>
      <x:c r="I58" t="str">
        <x:v>Lesson 13; printed p. 62</x:v>
      </x:c>
      <x:c r="J58" t="str">
        <x:v>stage1-v1.0</x:v>
      </x:c>
    </x:row>
    <x:row r="59">
      <x:c r="A59" t="str">
        <x:v>b8785c0a-41e3-44b8-ba0f-8370b28bfce0</x:v>
      </x:c>
      <x:c r="B59" t="str">
        <x:v>L13-S05</x:v>
      </x:c>
      <x:c r="C59" t="str">
        <x:v>99f4cbed-373c-4bf4-affd-8eda53373a56</x:v>
      </x:c>
      <x:c r="D59" t="str">
        <x:v>13</x:v>
      </x:c>
      <x:c r="E59" t="str">
        <x:v>LES NOMBRES</x:v>
      </x:c>
      <x:c r="F59" t="str">
        <x:v>« an » vs « année »</x:v>
      </x:c>
      <x:c r="G59" t="str">
        <x:v>an در برابر année</x:v>
      </x:c>
      <x:c r="H59" t="str">
        <x:v>an بیشتر واحد زمان با عدد و année بیشتر بر مدت/کیفیت دوره تأکید دارد.</x:v>
      </x:c>
      <x:c r="I59" t="str">
        <x:v>Lesson 13; printed p. 62</x:v>
      </x:c>
      <x:c r="J59" t="str">
        <x:v>stage1-v1.0</x:v>
      </x:c>
    </x:row>
    <x:row r="60">
      <x:c r="A60" t="str">
        <x:v>aa17cf04-3a4a-4e38-bbc3-a5a669b3d177</x:v>
      </x:c>
      <x:c r="B60" t="str">
        <x:v>L13-S06</x:v>
      </x:c>
      <x:c r="C60" t="str">
        <x:v>99f4cbed-373c-4bf4-affd-8eda53373a56</x:v>
      </x:c>
      <x:c r="D60" t="str">
        <x:v>13</x:v>
      </x:c>
      <x:c r="E60" t="str">
        <x:v>LES NOMBRES</x:v>
      </x:c>
      <x:c r="F60" t="str">
        <x:v>Fréquence avec nombres</x:v>
      </x:c>
      <x:c r="G60" t="str">
        <x:v>بسامد عددی</x:v>
      </x:c>
      <x:c r="H60" t="str">
        <x:v>tous les + مدت یا tous les deux jours و مانند آن، تکرار دوره‌ای را بیان می‌کند.</x:v>
      </x:c>
      <x:c r="I60" t="str">
        <x:v>Lesson 13; printed p. 62</x:v>
      </x:c>
      <x:c r="J60" t="str">
        <x:v>stage1-v1.0</x:v>
      </x:c>
    </x:row>
    <x:row r="61">
      <x:c r="A61" t="str">
        <x:v>3a53e567-a0aa-4b47-b5c0-140edfcdb238</x:v>
      </x:c>
      <x:c r="B61" t="str">
        <x:v>L14-S01</x:v>
      </x:c>
      <x:c r="C61" t="str">
        <x:v>8b0727a3-b94e-4d9d-bb86-9a0045b8685a</x:v>
      </x:c>
      <x:c r="D61" t="str">
        <x:v>14</x:v>
      </x:c>
      <x:c r="E61" t="str">
        <x:v>LE TEMPS (1)</x:v>
      </x:c>
      <x:c r="F61" t="str">
        <x:v>Jour et date</x:v>
      </x:c>
      <x:c r="G61" t="str">
        <x:v>روز و تاریخ</x:v>
      </x:c>
      <x:c r="H61" t="str">
        <x:v>تاریخ با nous sommes/on est + روز/تاریخ بیان می‌شود.</x:v>
      </x:c>
      <x:c r="I61" t="str">
        <x:v>Lesson 14; printed p. 64</x:v>
      </x:c>
      <x:c r="J61" t="str">
        <x:v>stage1-v1.0</x:v>
      </x:c>
    </x:row>
    <x:row r="62">
      <x:c r="A62" t="str">
        <x:v>041d6a68-b771-495e-be00-aa78da960caf</x:v>
      </x:c>
      <x:c r="B62" t="str">
        <x:v>L14-S02</x:v>
      </x:c>
      <x:c r="C62" t="str">
        <x:v>8b0727a3-b94e-4d9d-bb86-9a0045b8685a</x:v>
      </x:c>
      <x:c r="D62" t="str">
        <x:v>14</x:v>
      </x:c>
      <x:c r="E62" t="str">
        <x:v>LE TEMPS (1)</x:v>
      </x:c>
      <x:c r="F62" t="str">
        <x:v>Jour unique vs habitude</x:v>
      </x:c>
      <x:c r="G62" t="str">
        <x:v>روز مشخص و عادت</x:v>
      </x:c>
      <x:c r="H62" t="str">
        <x:v>lundi یک دوشنبهٔ مشخص/نزدیک و le lundi عادت تکرارشونده را بیان می‌کند.</x:v>
      </x:c>
      <x:c r="I62" t="str">
        <x:v>Lesson 14; printed p. 64</x:v>
      </x:c>
      <x:c r="J62" t="str">
        <x:v>stage1-v1.0</x:v>
      </x:c>
    </x:row>
    <x:row r="63">
      <x:c r="A63" t="str">
        <x:v>89db4db8-781c-4c94-a018-5868fbe52c15</x:v>
      </x:c>
      <x:c r="B63" t="str">
        <x:v>L14-S03</x:v>
      </x:c>
      <x:c r="C63" t="str">
        <x:v>8b0727a3-b94e-4d9d-bb86-9a0045b8685a</x:v>
      </x:c>
      <x:c r="D63" t="str">
        <x:v>14</x:v>
      </x:c>
      <x:c r="E63" t="str">
        <x:v>LE TEMPS (1)</x:v>
      </x:c>
      <x:c r="F63" t="str">
        <x:v>Mois, saisons, années et siècles</x:v>
      </x:c>
      <x:c r="G63" t="str">
        <x:v>ماه/فصل/سال/قرن</x:v>
      </x:c>
      <x:c r="H63" t="str">
        <x:v>ماه‌ها معمولاً با en، فصل‌ها با au/en و سال‌ها با en می‌آیند.</x:v>
      </x:c>
      <x:c r="I63" t="str">
        <x:v>Lesson 14; printed p. 64</x:v>
      </x:c>
      <x:c r="J63" t="str">
        <x:v>stage1-v1.0</x:v>
      </x:c>
    </x:row>
    <x:row r="64">
      <x:c r="A64" t="str">
        <x:v>3f4cb2bd-51ff-42cd-b847-02fa0d06ff8c</x:v>
      </x:c>
      <x:c r="B64" t="str">
        <x:v>L14-S04</x:v>
      </x:c>
      <x:c r="C64" t="str">
        <x:v>8b0727a3-b94e-4d9d-bb86-9a0045b8685a</x:v>
      </x:c>
      <x:c r="D64" t="str">
        <x:v>14</x:v>
      </x:c>
      <x:c r="E64" t="str">
        <x:v>LE TEMPS (1)</x:v>
      </x:c>
      <x:c r="F64" t="str">
        <x:v>Heure</x:v>
      </x:c>
      <x:c r="G64" t="str">
        <x:v>ساعت</x:v>
      </x:c>
      <x:c r="H64" t="str">
        <x:v>ساعت با il est + heure(s) و quart/demie/moins بیان می‌شود.</x:v>
      </x:c>
      <x:c r="I64" t="str">
        <x:v>Lesson 14; printed p. 66</x:v>
      </x:c>
      <x:c r="J64" t="str">
        <x:v>stage1-v1.0</x:v>
      </x:c>
    </x:row>
    <x:row r="65">
      <x:c r="A65" t="str">
        <x:v>7e2940b0-d030-443d-8925-1af8680ef450</x:v>
      </x:c>
      <x:c r="B65" t="str">
        <x:v>L14-S05</x:v>
      </x:c>
      <x:c r="C65" t="str">
        <x:v>8b0727a3-b94e-4d9d-bb86-9a0045b8685a</x:v>
      </x:c>
      <x:c r="D65" t="str">
        <x:v>14</x:v>
      </x:c>
      <x:c r="E65" t="str">
        <x:v>LE TEMPS (1)</x:v>
      </x:c>
      <x:c r="F65" t="str">
        <x:v>Heure officielle et ponctualité</x:v>
      </x:c>
      <x:c r="G65" t="str">
        <x:v>ساعت رسمی و وقت‌شناسی</x:v>
      </x:c>
      <x:c r="H65" t="str">
        <x:v>الگوی 24ساعته برای زمان رسمی؛ en avance/à l’heure/en retard برای نسبت با وقت مقرر است.</x:v>
      </x:c>
      <x:c r="I65" t="str">
        <x:v>Lesson 14; printed p. 66</x:v>
      </x:c>
      <x:c r="J65" t="str">
        <x:v>stage1-v1.0</x:v>
      </x:c>
    </x:row>
    <x:row r="66">
      <x:c r="A66" t="str">
        <x:v>7527fbd0-b459-42ab-b4bd-ea015779463c</x:v>
      </x:c>
      <x:c r="B66" t="str">
        <x:v>L14-S06</x:v>
      </x:c>
      <x:c r="C66" t="str">
        <x:v>8b0727a3-b94e-4d9d-bb86-9a0045b8685a</x:v>
      </x:c>
      <x:c r="D66" t="str">
        <x:v>14</x:v>
      </x:c>
      <x:c r="E66" t="str">
        <x:v>LE TEMPS (1)</x:v>
      </x:c>
      <x:c r="F66" t="str">
        <x:v>Météo impersonnelle</x:v>
      </x:c>
      <x:c r="G66" t="str">
        <x:v>هواشناسی بی‌شخص</x:v>
      </x:c>
      <x:c r="H66" t="str">
        <x:v>برای هوا از il fait + adjectif، il y a + nom یا افعال بی‌شخص pleuvoir/neiger استفاده می‌شود.</x:v>
      </x:c>
      <x:c r="I66" t="str">
        <x:v>Lesson 14; printed p. 66</x:v>
      </x:c>
      <x:c r="J66" t="str">
        <x:v>stage1-v1.0</x:v>
      </x:c>
    </x:row>
    <x:row r="67">
      <x:c r="A67" t="str">
        <x:v>e4b502e3-1e86-437b-9f13-5489dedacd88</x:v>
      </x:c>
      <x:c r="B67" t="str">
        <x:v>L15-S01</x:v>
      </x:c>
      <x:c r="C67" t="str">
        <x:v>b182d62b-44dc-4893-b88c-75ef935c0111</x:v>
      </x:c>
      <x:c r="D67" t="str">
        <x:v>15</x:v>
      </x:c>
      <x:c r="E67" t="str">
        <x:v>LES INDÉFINIS</x:v>
      </x:c>
      <x:c r="F67" t="str">
        <x:v>Adjectifs indéfinis</x:v>
      </x:c>
      <x:c r="G67" t="str">
        <x:v>صفات نامعین</x:v>
      </x:c>
      <x:c r="H67" t="str">
        <x:v>quelques, plusieurs, chaque, tout/toute/tous/toutes, certain(e)s, d’autres, aucun کمیت/توزیع نامعین را بیان می‌کنند.</x:v>
      </x:c>
      <x:c r="I67" t="str">
        <x:v>Lesson 15; printed p. 68</x:v>
      </x:c>
      <x:c r="J67" t="str">
        <x:v>stage1-v1.0</x:v>
      </x:c>
    </x:row>
    <x:row r="68">
      <x:c r="A68" t="str">
        <x:v>d1a1e426-69fc-426d-bbec-7fac686417bd</x:v>
      </x:c>
      <x:c r="B68" t="str">
        <x:v>L15-S02</x:v>
      </x:c>
      <x:c r="C68" t="str">
        <x:v>b182d62b-44dc-4893-b88c-75ef935c0111</x:v>
      </x:c>
      <x:c r="D68" t="str">
        <x:v>15</x:v>
      </x:c>
      <x:c r="E68" t="str">
        <x:v>LES INDÉFINIS</x:v>
      </x:c>
      <x:c r="F68" t="str">
        <x:v>« aucun » sans « pas »</x:v>
      </x:c>
      <x:c r="G68" t="str">
        <x:v>aucun بدون pas</x:v>
      </x:c>
      <x:c r="H68" t="str">
        <x:v>aucun/aucune در نفی با ne می‌آید و pas نمی‌گیرد.</x:v>
      </x:c>
      <x:c r="I68" t="str">
        <x:v>Lesson 15; printed p. 68</x:v>
      </x:c>
      <x:c r="J68" t="str">
        <x:v>stage1-v1.0</x:v>
      </x:c>
    </x:row>
    <x:row r="69">
      <x:c r="A69" t="str">
        <x:v>d9e529ef-39ee-4d9c-985d-1458f5649d83</x:v>
      </x:c>
      <x:c r="B69" t="str">
        <x:v>L15-S03</x:v>
      </x:c>
      <x:c r="C69" t="str">
        <x:v>b182d62b-44dc-4893-b88c-75ef935c0111</x:v>
      </x:c>
      <x:c r="D69" t="str">
        <x:v>15</x:v>
      </x:c>
      <x:c r="E69" t="str">
        <x:v>LES INDÉFINIS</x:v>
      </x:c>
      <x:c r="F69" t="str">
        <x:v>Pronoms indéfinis</x:v>
      </x:c>
      <x:c r="G69" t="str">
        <x:v>ضمیرهای نامعین</x:v>
      </x:c>
      <x:c r="H69" t="str">
        <x:v>quelques-un(e)s, chacun(e), tous/toutes و tout می‌توانند مستقل از اسم بیایند.</x:v>
      </x:c>
      <x:c r="I69" t="str">
        <x:v>Lesson 15; printed p. 70</x:v>
      </x:c>
      <x:c r="J69" t="str">
        <x:v>stage1-v1.0</x:v>
      </x:c>
    </x:row>
    <x:row r="70">
      <x:c r="A70" t="str">
        <x:v>3ed479d1-f9d2-4bdf-a96d-c29c8d6c76ab</x:v>
      </x:c>
      <x:c r="B70" t="str">
        <x:v>L15-S04</x:v>
      </x:c>
      <x:c r="C70" t="str">
        <x:v>b182d62b-44dc-4893-b88c-75ef935c0111</x:v>
      </x:c>
      <x:c r="D70" t="str">
        <x:v>15</x:v>
      </x:c>
      <x:c r="E70" t="str">
        <x:v>LES INDÉFINIS</x:v>
      </x:c>
      <x:c r="F70" t="str">
        <x:v>Quelqu’un/quelque chose/quelque part</x:v>
      </x:c>
      <x:c r="G70" t="str">
        <x:v>نامعین‌های مثبت</x:v>
      </x:c>
      <x:c r="H70" t="str">
        <x:v>این شکل‌ها به شخص/چیز/مکان نامشخص اشاره می‌کنند.</x:v>
      </x:c>
      <x:c r="I70" t="str">
        <x:v>Lesson 15; printed p. 70</x:v>
      </x:c>
      <x:c r="J70" t="str">
        <x:v>stage1-v1.0</x:v>
      </x:c>
    </x:row>
    <x:row r="71">
      <x:c r="A71" t="str">
        <x:v>500d5ebf-e858-4fd3-bb03-749bdf808783</x:v>
      </x:c>
      <x:c r="B71" t="str">
        <x:v>L15-S05</x:v>
      </x:c>
      <x:c r="C71" t="str">
        <x:v>b182d62b-44dc-4893-b88c-75ef935c0111</x:v>
      </x:c>
      <x:c r="D71" t="str">
        <x:v>15</x:v>
      </x:c>
      <x:c r="E71" t="str">
        <x:v>LES INDÉFINIS</x:v>
      </x:c>
      <x:c r="F71" t="str">
        <x:v>Personne/rien/nulle part</x:v>
      </x:c>
      <x:c r="G71" t="str">
        <x:v>نامعین‌های منفی</x:v>
      </x:c>
      <x:c r="H71" t="str">
        <x:v>personne، rien و nulle part معادل‌های منفی برای شخص/چیز/مکان‌اند.</x:v>
      </x:c>
      <x:c r="I71" t="str">
        <x:v>Lesson 15; printed p. 70</x:v>
      </x:c>
      <x:c r="J71" t="str">
        <x:v>stage1-v1.0</x:v>
      </x:c>
    </x:row>
    <x:row r="72">
      <x:c r="A72" t="str">
        <x:v>d6ff73a9-773e-4f48-9665-927f73921c87</x:v>
      </x:c>
      <x:c r="B72" t="str">
        <x:v>L16-S01</x:v>
      </x:c>
      <x:c r="C72" t="str">
        <x:v>619fe3c8-586f-4038-8ea0-e5ad5085412d</x:v>
      </x:c>
      <x:c r="D72" t="str">
        <x:v>16</x:v>
      </x:c>
      <x:c r="E72" t="str">
        <x:v>LES VERBES en « -ER » au PRÉSENT</x:v>
      </x:c>
      <x:c r="F72" t="str">
        <x:v>Conjugaison régulière des verbes en -er</x:v>
      </x:c>
      <x:c r="G72" t="str">
        <x:v>صرف منظم -er</x:v>
      </x:c>
      <x:c r="H72" t="str">
        <x:v>ریشهٔ مصدر + e, es, e, ons, ez, ent الگوی غالب افعال -er است.</x:v>
      </x:c>
      <x:c r="I72" t="str">
        <x:v>Lesson 16; printed p. 74</x:v>
      </x:c>
      <x:c r="J72" t="str">
        <x:v>stage1-v1.0</x:v>
      </x:c>
    </x:row>
    <x:row r="73">
      <x:c r="A73" t="str">
        <x:v>a386c013-d99b-432f-a72d-df5419d9da2e</x:v>
      </x:c>
      <x:c r="B73" t="str">
        <x:v>L16-S02</x:v>
      </x:c>
      <x:c r="C73" t="str">
        <x:v>619fe3c8-586f-4038-8ea0-e5ad5085412d</x:v>
      </x:c>
      <x:c r="D73" t="str">
        <x:v>16</x:v>
      </x:c>
      <x:c r="E73" t="str">
        <x:v>LES VERBES en « -ER » au PRÉSENT</x:v>
      </x:c>
      <x:c r="F73" t="str">
        <x:v>Prononciation des terminaisons</x:v>
      </x:c>
      <x:c r="G73" t="str">
        <x:v>تلفظ پایان‌ها</x:v>
      </x:c>
      <x:c r="H73" t="str">
        <x:v>نظام نوشتاری و شنیداریِ صرف -er یکسان نیست.</x:v>
      </x:c>
      <x:c r="I73" t="str">
        <x:v>Lesson 16; printed p. 74</x:v>
      </x:c>
      <x:c r="J73" t="str">
        <x:v>stage1-v1.0</x:v>
      </x:c>
    </x:row>
    <x:row r="74">
      <x:c r="A74" t="str">
        <x:v>400e9556-f5bc-412e-a8b2-b61639a90199</x:v>
      </x:c>
      <x:c r="B74" t="str">
        <x:v>L16-S03</x:v>
      </x:c>
      <x:c r="C74" t="str">
        <x:v>619fe3c8-586f-4038-8ea0-e5ad5085412d</x:v>
      </x:c>
      <x:c r="D74" t="str">
        <x:v>16</x:v>
      </x:c>
      <x:c r="E74" t="str">
        <x:v>LES VERBES en « -ER » au PRÉSENT</x:v>
      </x:c>
      <x:c r="F74" t="str">
        <x:v>Verbes en -ier</x:v>
      </x:c>
      <x:c r="G74" t="str">
        <x:v>افعال -ier</x:v>
      </x:c>
      <x:c r="H74" t="str">
        <x:v>در افعالی مانند étudier، i ریشه حفظ می‌شود.</x:v>
      </x:c>
      <x:c r="I74" t="str">
        <x:v>Lesson 16; printed p. 76</x:v>
      </x:c>
      <x:c r="J74" t="str">
        <x:v>stage1-v1.0</x:v>
      </x:c>
    </x:row>
    <x:row r="75">
      <x:c r="A75" t="str">
        <x:v>c34a4ef8-40e3-41a7-8b68-4492dee1305e</x:v>
      </x:c>
      <x:c r="B75" t="str">
        <x:v>L16-S04</x:v>
      </x:c>
      <x:c r="C75" t="str">
        <x:v>619fe3c8-586f-4038-8ea0-e5ad5085412d</x:v>
      </x:c>
      <x:c r="D75" t="str">
        <x:v>16</x:v>
      </x:c>
      <x:c r="E75" t="str">
        <x:v>LES VERBES en « -ER » au PRÉSENT</x:v>
      </x:c>
      <x:c r="F75" t="str">
        <x:v>Modifications orthographiques</x:v>
      </x:c>
      <x:c r="G75" t="str">
        <x:v>تغییرات املایی -er</x:v>
      </x:c>
      <x:c r="H75" t="str">
        <x:v>برای حفظ تلفظ، برخی ریشه‌ها در صرف تغییر املایی دارند.</x:v>
      </x:c>
      <x:c r="I75" t="str">
        <x:v>Lesson 16; printed p. 76</x:v>
      </x:c>
      <x:c r="J75" t="str">
        <x:v>stage1-v1.0</x:v>
      </x:c>
    </x:row>
    <x:row r="76">
      <x:c r="A76" t="str">
        <x:v>d556be68-4c55-4e89-92c1-f3966aa5a6ed</x:v>
      </x:c>
      <x:c r="B76" t="str">
        <x:v>L17-S01</x:v>
      </x:c>
      <x:c r="C76" t="str">
        <x:v>e3b8941a-3506-4903-b9f5-ede88a288def</x:v>
      </x:c>
      <x:c r="D76" t="str">
        <x:v>17</x:v>
      </x:c>
      <x:c r="E76" t="str">
        <x:v>LE TEMPS (2)</x:v>
      </x:c>
      <x:c r="F76" t="str">
        <x:v>« depuis » et durée en cours</x:v>
      </x:c>
      <x:c r="G76" t="str">
        <x:v>depuis و مدت ادامه‌دار</x:v>
      </x:c>
      <x:c r="H76" t="str">
        <x:v>depuis مبدأ یا مدتی را بیان می‌کند که از گذشته شروع شده و تا حال ادامه دارد.</x:v>
      </x:c>
      <x:c r="I76" t="str">
        <x:v>Lesson 17; printed p. 80</x:v>
      </x:c>
      <x:c r="J76" t="str">
        <x:v>stage1-v1.0</x:v>
      </x:c>
    </x:row>
    <x:row r="77">
      <x:c r="A77" t="str">
        <x:v>fffc6ff1-b978-49fb-93e1-39175463ecb5</x:v>
      </x:c>
      <x:c r="B77" t="str">
        <x:v>L17-S02</x:v>
      </x:c>
      <x:c r="C77" t="str">
        <x:v>e3b8941a-3506-4903-b9f5-ede88a288def</x:v>
      </x:c>
      <x:c r="D77" t="str">
        <x:v>17</x:v>
      </x:c>
      <x:c r="E77" t="str">
        <x:v>LE TEMPS (2)</x:v>
      </x:c>
      <x:c r="F77" t="str">
        <x:v>« pour » et durée prévue</x:v>
      </x:c>
      <x:c r="G77" t="str">
        <x:v>pour و مدت پیش‌بینی‌شده</x:v>
      </x:c>
      <x:c r="H77" t="str">
        <x:v>pour مدت برنامه‌ریزی‌شده یا قصدشده را بیان می‌کند.</x:v>
      </x:c>
      <x:c r="I77" t="str">
        <x:v>Lesson 17; printed p. 80</x:v>
      </x:c>
      <x:c r="J77" t="str">
        <x:v>stage1-v1.0</x:v>
      </x:c>
    </x:row>
    <x:row r="78">
      <x:c r="A78" t="str">
        <x:v>3638e28d-815f-4bce-b3c2-27e5826d8159</x:v>
      </x:c>
      <x:c r="B78" t="str">
        <x:v>L17-S03</x:v>
      </x:c>
      <x:c r="C78" t="str">
        <x:v>e3b8941a-3506-4903-b9f5-ede88a288def</x:v>
      </x:c>
      <x:c r="D78" t="str">
        <x:v>17</x:v>
      </x:c>
      <x:c r="E78" t="str">
        <x:v>LE TEMPS (2)</x:v>
      </x:c>
      <x:c r="F78" t="str">
        <x:v>« pendant » et durée finie</x:v>
      </x:c>
      <x:c r="G78" t="str">
        <x:v>pendant و مدت محدود</x:v>
      </x:c>
      <x:c r="H78" t="str">
        <x:v>pendant مدت دارای شروع و پایان را بیان می‌کند.</x:v>
      </x:c>
      <x:c r="I78" t="str">
        <x:v>Lesson 17; printed p. 80</x:v>
      </x:c>
      <x:c r="J78" t="str">
        <x:v>stage1-v1.0</x:v>
      </x:c>
    </x:row>
    <x:row r="79">
      <x:c r="A79" t="str">
        <x:v>a09a724f-5cb0-45ae-b88c-8cb07f335f4a</x:v>
      </x:c>
      <x:c r="B79" t="str">
        <x:v>L17-S04</x:v>
      </x:c>
      <x:c r="C79" t="str">
        <x:v>e3b8941a-3506-4903-b9f5-ede88a288def</x:v>
      </x:c>
      <x:c r="D79" t="str">
        <x:v>17</x:v>
      </x:c>
      <x:c r="E79" t="str">
        <x:v>LE TEMPS (2)</x:v>
      </x:c>
      <x:c r="F79" t="str">
        <x:v>« en » et temps nécessaire</x:v>
      </x:c>
      <x:c r="G79" t="str">
        <x:v>en و زمان لازم</x:v>
      </x:c>
      <x:c r="H79" t="str">
        <x:v>en مقدار زمان لازم برای انجام کامل کاری را بیان می‌کند.</x:v>
      </x:c>
      <x:c r="I79" t="str">
        <x:v>Lesson 17; printed p. 80</x:v>
      </x:c>
      <x:c r="J79" t="str">
        <x:v>stage1-v1.0</x:v>
      </x:c>
    </x:row>
    <x:row r="80">
      <x:c r="A80" t="str">
        <x:v>9f65916f-0c81-4b75-a82a-eca35eebb24b</x:v>
      </x:c>
      <x:c r="B80" t="str">
        <x:v>L18-S01</x:v>
      </x:c>
      <x:c r="C80" t="str">
        <x:v>ec290ee6-f705-4b74-98db-7e4079c54d60</x:v>
      </x:c>
      <x:c r="D80" t="str">
        <x:v>18</x:v>
      </x:c>
      <x:c r="E80" t="str">
        <x:v>L’ADVERBE</x:v>
      </x:c>
      <x:c r="F80" t="str">
        <x:v>Adjectif vs adverbe</x:v>
      </x:c>
      <x:c r="G80" t="str">
        <x:v>صفت در برابر قید</x:v>
      </x:c>
      <x:c r="H80" t="str">
        <x:v>صفت اسم را و قید فعل/صفت/قید دیگر را توصیف می‌کند.</x:v>
      </x:c>
      <x:c r="I80" t="str">
        <x:v>Lesson 18; printed p. 82</x:v>
      </x:c>
      <x:c r="J80" t="str">
        <x:v>stage1-v1.0</x:v>
      </x:c>
    </x:row>
    <x:row r="81">
      <x:c r="A81" t="str">
        <x:v>ecea5ee1-14a0-48db-aa25-28d9d108d203</x:v>
      </x:c>
      <x:c r="B81" t="str">
        <x:v>L18-S02</x:v>
      </x:c>
      <x:c r="C81" t="str">
        <x:v>ec290ee6-f705-4b74-98db-7e4079c54d60</x:v>
      </x:c>
      <x:c r="D81" t="str">
        <x:v>18</x:v>
      </x:c>
      <x:c r="E81" t="str">
        <x:v>L’ADVERBE</x:v>
      </x:c>
      <x:c r="F81" t="str">
        <x:v>« bon » vs « bien »</x:v>
      </x:c>
      <x:c r="G81" t="str">
        <x:v>bon در برابر bien</x:v>
      </x:c>
      <x:c r="H81" t="str">
        <x:v>bon معمولاً صفت و bien معمولاً قید است، با چند کاربرد ثابت.</x:v>
      </x:c>
      <x:c r="I81" t="str">
        <x:v>Lesson 18; printed p. 82</x:v>
      </x:c>
      <x:c r="J81" t="str">
        <x:v>stage1-v1.0</x:v>
      </x:c>
    </x:row>
    <x:row r="82">
      <x:c r="A82" t="str">
        <x:v>64f455fa-d39a-48c5-8216-c72eaeecec3a</x:v>
      </x:c>
      <x:c r="B82" t="str">
        <x:v>L18-S03</x:v>
      </x:c>
      <x:c r="C82" t="str">
        <x:v>ec290ee6-f705-4b74-98db-7e4079c54d60</x:v>
      </x:c>
      <x:c r="D82" t="str">
        <x:v>18</x:v>
      </x:c>
      <x:c r="E82" t="str">
        <x:v>L’ADVERBE</x:v>
      </x:c>
      <x:c r="F82" t="str">
        <x:v>« très » vs « beaucoup »</x:v>
      </x:c>
      <x:c r="G82" t="str">
        <x:v>très در برابر beaucoup</x:v>
      </x:c>
      <x:c r="H82" t="str">
        <x:v>très صفت/قید را تقویت می‌کند؛ beaucoup معمولاً مقدارِ فعل را.</x:v>
      </x:c>
      <x:c r="I82" t="str">
        <x:v>Lesson 18; printed p. 82</x:v>
      </x:c>
      <x:c r="J82" t="str">
        <x:v>stage1-v1.0</x:v>
      </x:c>
    </x:row>
    <x:row r="83">
      <x:c r="A83" t="str">
        <x:v>1d7fbf82-c298-48b7-9a8b-c1d5ed9c59b9</x:v>
      </x:c>
      <x:c r="B83" t="str">
        <x:v>L18-S04</x:v>
      </x:c>
      <x:c r="C83" t="str">
        <x:v>ec290ee6-f705-4b74-98db-7e4079c54d60</x:v>
      </x:c>
      <x:c r="D83" t="str">
        <x:v>18</x:v>
      </x:c>
      <x:c r="E83" t="str">
        <x:v>L’ADVERBE</x:v>
      </x:c>
      <x:c r="F83" t="str">
        <x:v>« aimer bien/beaucoup »</x:v>
      </x:c>
      <x:c r="G83" t="str">
        <x:v>درجه‌های aimer</x:v>
      </x:c>
      <x:c r="H83" t="str">
        <x:v>aimer bien، aimer beaucoup و aimer شدت/نوع علاقه متفاوتی القا می‌کنند.</x:v>
      </x:c>
      <x:c r="I83" t="str">
        <x:v>Lesson 18; printed p. 82</x:v>
      </x:c>
      <x:c r="J83" t="str">
        <x:v>stage1-v1.0</x:v>
      </x:c>
    </x:row>
    <x:row r="84">
      <x:c r="A84" t="str">
        <x:v>7b326a24-2848-47ad-905f-601470d0f656</x:v>
      </x:c>
      <x:c r="B84" t="str">
        <x:v>L18-S05</x:v>
      </x:c>
      <x:c r="C84" t="str">
        <x:v>ec290ee6-f705-4b74-98db-7e4079c54d60</x:v>
      </x:c>
      <x:c r="D84" t="str">
        <x:v>18</x:v>
      </x:c>
      <x:c r="E84" t="str">
        <x:v>L’ADVERBE</x:v>
      </x:c>
      <x:c r="F84" t="str">
        <x:v>Formation des adverbes en -ment</x:v>
      </x:c>
      <x:c r="G84" t="str">
        <x:v>ساخت قید -ment</x:v>
      </x:c>
      <x:c r="H84" t="str">
        <x:v>اغلب feminine adjective + -ment قید می‌سازد؛ پایان‌های خاص الگوهای ویژه دارند.</x:v>
      </x:c>
      <x:c r="I84" t="str">
        <x:v>Lesson 18; printed p. 84</x:v>
      </x:c>
      <x:c r="J84" t="str">
        <x:v>stage1-v1.0</x:v>
      </x:c>
    </x:row>
    <x:row r="85">
      <x:c r="A85" t="str">
        <x:v>2b915634-931b-42b4-8b19-b3c4c62eba27</x:v>
      </x:c>
      <x:c r="B85" t="str">
        <x:v>L18-S06</x:v>
      </x:c>
      <x:c r="C85" t="str">
        <x:v>ec290ee6-f705-4b74-98db-7e4079c54d60</x:v>
      </x:c>
      <x:c r="D85" t="str">
        <x:v>18</x:v>
      </x:c>
      <x:c r="E85" t="str">
        <x:v>L’ADVERBE</x:v>
      </x:c>
      <x:c r="F85" t="str">
        <x:v>Adverbes de temps et de lieu</x:v>
      </x:c>
      <x:c r="G85" t="str">
        <x:v>قیدهای زمان و مکان</x:v>
      </x:c>
      <x:c r="H85" t="str">
        <x:v>قیدهای بسامد و مکان مانند toujours/souvent/parfois/jamais و dedans/dehors/là نقش قیدی دارند.</x:v>
      </x:c>
      <x:c r="I85" t="str">
        <x:v>Lesson 18; printed p. 84</x:v>
      </x:c>
      <x:c r="J85" t="str">
        <x:v>stage1-v1.0</x:v>
      </x:c>
    </x:row>
    <x:row r="86">
      <x:c r="A86" t="str">
        <x:v>ad40bfa1-3c4c-45e6-a013-9e075058b382</x:v>
      </x:c>
      <x:c r="B86" t="str">
        <x:v>L19-S01</x:v>
      </x:c>
      <x:c r="C86" t="str">
        <x:v>cb9bdbbf-0955-46a6-b979-69203ff4d988</x:v>
      </x:c>
      <x:c r="D86" t="str">
        <x:v>19</x:v>
      </x:c>
      <x:c r="E86" t="str">
        <x:v>L’EXPRESSION de la QUANTITÉ</x:v>
      </x:c>
      <x:c r="F86" t="str">
        <x:v>Partitif et quantité indéterminée</x:v>
      </x:c>
      <x:c r="G86" t="str">
        <x:v>partitif و مقدار نامعین</x:v>
      </x:c>
      <x:c r="H86" t="str">
        <x:v>du/de la/de l’/des برای بخشی نامعین از ماده/مفهوم استفاده می‌شود.</x:v>
      </x:c>
      <x:c r="I86" t="str">
        <x:v>Lesson 19; printed p. 86</x:v>
      </x:c>
      <x:c r="J86" t="str">
        <x:v>stage1-v1.0</x:v>
      </x:c>
    </x:row>
    <x:row r="87">
      <x:c r="A87" t="str">
        <x:v>7f685463-b199-4b30-96de-42dfd32feced</x:v>
      </x:c>
      <x:c r="B87" t="str">
        <x:v>L19-S02</x:v>
      </x:c>
      <x:c r="C87" t="str">
        <x:v>cb9bdbbf-0955-46a6-b979-69203ff4d988</x:v>
      </x:c>
      <x:c r="D87" t="str">
        <x:v>19</x:v>
      </x:c>
      <x:c r="E87" t="str">
        <x:v>L’EXPRESSION de la QUANTITÉ</x:v>
      </x:c>
      <x:c r="F87" t="str">
        <x:v>« des » indéfini vs contracté</x:v>
      </x:c>
      <x:c r="G87" t="str">
        <x:v>دو نقش des</x:v>
      </x:c>
      <x:c r="H87" t="str">
        <x:v>des می‌تواند article نامعین جمع یا حاصل de+les باشد.</x:v>
      </x:c>
      <x:c r="I87" t="str">
        <x:v>Lesson 19; printed p. 86</x:v>
      </x:c>
      <x:c r="J87" t="str">
        <x:v>stage1-v1.0</x:v>
      </x:c>
    </x:row>
    <x:row r="88">
      <x:c r="A88" t="str">
        <x:v>123a04f1-09f8-45d6-b6ab-34fcc0b7b778</x:v>
      </x:c>
      <x:c r="B88" t="str">
        <x:v>L19-S03</x:v>
      </x:c>
      <x:c r="C88" t="str">
        <x:v>cb9bdbbf-0955-46a6-b979-69203ff4d988</x:v>
      </x:c>
      <x:c r="D88" t="str">
        <x:v>19</x:v>
      </x:c>
      <x:c r="E88" t="str">
        <x:v>L’EXPRESSION de la QUANTITÉ</x:v>
      </x:c>
      <x:c r="F88" t="str">
        <x:v>Quantité exprimée + « de »</x:v>
      </x:c>
      <x:c r="G88" t="str">
        <x:v>کمیت + de</x:v>
      </x:c>
      <x:c r="H88" t="str">
        <x:v>پس از مقدار دقیق/کلی/واژهٔ کمیت، de جای partitif را می‌گیرد.</x:v>
      </x:c>
      <x:c r="I88" t="str">
        <x:v>Lesson 19; printed p. 88</x:v>
      </x:c>
      <x:c r="J88" t="str">
        <x:v>stage1-v1.0</x:v>
      </x:c>
    </x:row>
    <x:row r="89">
      <x:c r="A89" t="str">
        <x:v>0cefe77c-491e-4176-b539-4fc913604c14</x:v>
      </x:c>
      <x:c r="B89" t="str">
        <x:v>L19-S04</x:v>
      </x:c>
      <x:c r="C89" t="str">
        <x:v>cb9bdbbf-0955-46a6-b979-69203ff4d988</x:v>
      </x:c>
      <x:c r="D89" t="str">
        <x:v>19</x:v>
      </x:c>
      <x:c r="E89" t="str">
        <x:v>L’EXPRESSION de la QUANTITÉ</x:v>
      </x:c>
      <x:c r="F89" t="str">
        <x:v>Négation et quantité</x:v>
      </x:c>
      <x:c r="G89" t="str">
        <x:v>نفی و کمیت</x:v>
      </x:c>
      <x:c r="H89" t="str">
        <x:v>در نفیِ صفر، article نامعین/partitif معمولاً به de تبدیل می‌شود.</x:v>
      </x:c>
      <x:c r="I89" t="str">
        <x:v>Lesson 19; printed p. 88</x:v>
      </x:c>
      <x:c r="J89" t="str">
        <x:v>stage1-v1.0</x:v>
      </x:c>
    </x:row>
    <x:row r="90">
      <x:c r="A90" t="str">
        <x:v>c3aa4aea-ddab-4b7d-bbb2-6dc965a6b246</x:v>
      </x:c>
      <x:c r="B90" t="str">
        <x:v>L19-S05</x:v>
      </x:c>
      <x:c r="C90" t="str">
        <x:v>cb9bdbbf-0955-46a6-b979-69203ff4d988</x:v>
      </x:c>
      <x:c r="D90" t="str">
        <x:v>19</x:v>
      </x:c>
      <x:c r="E90" t="str">
        <x:v>L’EXPRESSION de la QUANTITÉ</x:v>
      </x:c>
      <x:c r="F90" t="str">
        <x:v>« sans » et article</x:v>
      </x:c>
      <x:c r="G90" t="str">
        <x:v>sans و article</x:v>
      </x:c>
      <x:c r="H90" t="str">
        <x:v>پس از sans معمولاً partitif نمی‌آید.</x:v>
      </x:c>
      <x:c r="I90" t="str">
        <x:v>Lesson 19; printed p. 86</x:v>
      </x:c>
      <x:c r="J90" t="str">
        <x:v>stage1-v1.0</x:v>
      </x:c>
    </x:row>
    <x:row r="91">
      <x:c r="A91" t="str">
        <x:v>4fec3f13-dc42-4049-b312-c1b7af05db3c</x:v>
      </x:c>
      <x:c r="B91" t="str">
        <x:v>L19-S06</x:v>
      </x:c>
      <x:c r="C91" t="str">
        <x:v>cb9bdbbf-0955-46a6-b979-69203ff4d988</x:v>
      </x:c>
      <x:c r="D91" t="str">
        <x:v>19</x:v>
      </x:c>
      <x:c r="E91" t="str">
        <x:v>L’EXPRESSION de la QUANTITÉ</x:v>
      </x:c>
      <x:c r="F91" t="str">
        <x:v>« besoin/envie de » sans partitif</x:v>
      </x:c>
      <x:c r="G91" t="str">
        <x:v>besoin/envie de بدون partitif</x:v>
      </x:c>
      <x:c r="H91" t="str">
        <x:v>پس از avoir besoin de / avoir envie de، de جزو ساخت است و partitif اضافه نمی‌شود.</x:v>
      </x:c>
      <x:c r="I91" t="str">
        <x:v>Lesson 19; printed p. 88</x:v>
      </x:c>
      <x:c r="J91" t="str">
        <x:v>stage1-v1.0</x:v>
      </x:c>
    </x:row>
    <x:row r="92">
      <x:c r="A92" t="str">
        <x:v>ca464ada-46fe-413a-b5ea-86e9b46350f7</x:v>
      </x:c>
      <x:c r="B92" t="str">
        <x:v>L20-S01</x:v>
      </x:c>
      <x:c r="C92" t="str">
        <x:v>dd8aa1ed-067c-4e17-a9db-10d3b630688a</x:v>
      </x:c>
      <x:c r="D92" t="str">
        <x:v>20</x:v>
      </x:c>
      <x:c r="E92" t="str">
        <x:v>LE PRONOM « EN »</x:v>
      </x:c>
      <x:c r="F92" t="str">
        <x:v>« en » remplace « de + nom »</x:v>
      </x:c>
      <x:c r="G92" t="str">
        <x:v>en به‌جای de+اسم</x:v>
      </x:c>
      <x:c r="H92" t="str">
        <x:v>en مکمل‌های ساخته‌شده با de را، به‌ویژه برای چیزها، جایگزین می‌کند.</x:v>
      </x:c>
      <x:c r="I92" t="str">
        <x:v>Lesson 20; printed p. 90,92</x:v>
      </x:c>
      <x:c r="J92" t="str">
        <x:v>stage1-v1.0</x:v>
      </x:c>
    </x:row>
    <x:row r="93">
      <x:c r="A93" t="str">
        <x:v>b6d899ef-5bd9-4fe9-b1a3-64ce4703fc62</x:v>
      </x:c>
      <x:c r="B93" t="str">
        <x:v>L20-S02</x:v>
      </x:c>
      <x:c r="C93" t="str">
        <x:v>dd8aa1ed-067c-4e17-a9db-10d3b630688a</x:v>
      </x:c>
      <x:c r="D93" t="str">
        <x:v>20</x:v>
      </x:c>
      <x:c r="E93" t="str">
        <x:v>LE PRONOM « EN »</x:v>
      </x:c>
      <x:c r="F93" t="str">
        <x:v>« en » et partitif</x:v>
      </x:c>
      <x:c r="G93" t="str">
        <x:v>en و partitif</x:v>
      </x:c>
      <x:c r="H93" t="str">
        <x:v>en اسم همراه partitif/کمیت نامعین را جایگزین می‌کند.</x:v>
      </x:c>
      <x:c r="I93" t="str">
        <x:v>Lesson 20; printed p. 90</x:v>
      </x:c>
      <x:c r="J93" t="str">
        <x:v>stage1-v1.0</x:v>
      </x:c>
    </x:row>
    <x:row r="94">
      <x:c r="A94" t="str">
        <x:v>00ed869e-93f9-40b0-9ec0-321dcd6b278e</x:v>
      </x:c>
      <x:c r="B94" t="str">
        <x:v>L20-S03</x:v>
      </x:c>
      <x:c r="C94" t="str">
        <x:v>dd8aa1ed-067c-4e17-a9db-10d3b630688a</x:v>
      </x:c>
      <x:c r="D94" t="str">
        <x:v>20</x:v>
      </x:c>
      <x:c r="E94" t="str">
        <x:v>LE PRONOM « EN »</x:v>
      </x:c>
      <x:c r="F94" t="str">
        <x:v>« en » avec verbes en « de »</x:v>
      </x:c>
      <x:c r="G94" t="str">
        <x:v>en با افعال de</x:v>
      </x:c>
      <x:c r="H94" t="str">
        <x:v>افعالی مانند parler de, rêver de, s’occuper de و ساخت‌های مشابه برای چیزها با en جایگزین می‌شوند.</x:v>
      </x:c>
      <x:c r="I94" t="str">
        <x:v>Lesson 20; printed p. 92</x:v>
      </x:c>
      <x:c r="J94" t="str">
        <x:v>stage1-v1.0</x:v>
      </x:c>
    </x:row>
    <x:row r="95">
      <x:c r="A95" t="str">
        <x:v>3dea5185-7931-40ed-b50d-56f004a9d2ae</x:v>
      </x:c>
      <x:c r="B95" t="str">
        <x:v>L20-S04</x:v>
      </x:c>
      <x:c r="C95" t="str">
        <x:v>dd8aa1ed-067c-4e17-a9db-10d3b630688a</x:v>
      </x:c>
      <x:c r="D95" t="str">
        <x:v>20</x:v>
      </x:c>
      <x:c r="E95" t="str">
        <x:v>LE PRONOM « EN »</x:v>
      </x:c>
      <x:c r="F95" t="str">
        <x:v>« en » d’origine</x:v>
      </x:c>
      <x:c r="G95" t="str">
        <x:v>en برای مبدأ</x:v>
      </x:c>
      <x:c r="H95" t="str">
        <x:v>en می‌تواند مکمل مکانی de را در venir de و ساخت مشابه جایگزین کند.</x:v>
      </x:c>
      <x:c r="I95" t="str">
        <x:v>Lesson 20; printed p. 92</x:v>
      </x:c>
      <x:c r="J95" t="str">
        <x:v>stage1-v1.0</x:v>
      </x:c>
    </x:row>
    <x:row r="96">
      <x:c r="A96" t="str">
        <x:v>c3b56302-aae5-4362-9963-416e7d8e8d71</x:v>
      </x:c>
      <x:c r="B96" t="str">
        <x:v>L20-S05</x:v>
      </x:c>
      <x:c r="C96" t="str">
        <x:v>dd8aa1ed-067c-4e17-a9db-10d3b630688a</x:v>
      </x:c>
      <x:c r="D96" t="str">
        <x:v>20</x:v>
      </x:c>
      <x:c r="E96" t="str">
        <x:v>LE PRONOM « EN »</x:v>
      </x:c>
      <x:c r="F96" t="str">
        <x:v>Expressions figées avec « en »</x:v>
      </x:c>
      <x:c r="G96" t="str">
        <x:v>عبارت‌های ثابت en</x:v>
      </x:c>
      <x:c r="H96" t="str">
        <x:v>s’en aller, en avoir assez/marre, n’en pouvoir plus, s’en occuper و مانند آن واحدهای واژگانی‌اند.</x:v>
      </x:c>
      <x:c r="I96" t="str">
        <x:v>Lesson 20; printed p. 92</x:v>
      </x:c>
      <x:c r="J96" t="str">
        <x:v>stage1-v1.0</x:v>
      </x:c>
    </x:row>
    <x:row r="97">
      <x:c r="A97" t="str">
        <x:v>1db8bf87-fde9-4af4-8813-d4d94427b8d5</x:v>
      </x:c>
      <x:c r="B97" t="str">
        <x:v>L21-S01</x:v>
      </x:c>
      <x:c r="C97" t="str">
        <x:v>a7d4b7ab-babf-44fd-8d1b-09d273f60704</x:v>
      </x:c>
      <x:c r="D97" t="str">
        <x:v>21</x:v>
      </x:c>
      <x:c r="E97" t="str">
        <x:v>LA SITUATION dans l’ESPACE (2)</x:v>
      </x:c>
      <x:c r="F97" t="str">
        <x:v>Régions/départements/États: en/dans le/dans les</x:v>
      </x:c>
      <x:c r="G97" t="str">
        <x:v>مکان در ناحیه/استان/ایالت</x:v>
      </x:c>
      <x:c r="H97" t="str">
        <x:v>برای واحدهای جغرافیایی، en با مؤنث، dans le با مذکر و dans les با جمع به‌کار می‌رود.</x:v>
      </x:c>
      <x:c r="I97" t="str">
        <x:v>Lesson 21; printed p. 94</x:v>
      </x:c>
      <x:c r="J97" t="str">
        <x:v>stage1-v1.0</x:v>
      </x:c>
    </x:row>
    <x:row r="98">
      <x:c r="A98" t="str">
        <x:v>52869adf-d799-4acc-bb0f-fcf07319a3cc</x:v>
      </x:c>
      <x:c r="B98" t="str">
        <x:v>L21-S02</x:v>
      </x:c>
      <x:c r="C98" t="str">
        <x:v>a7d4b7ab-babf-44fd-8d1b-09d273f60704</x:v>
      </x:c>
      <x:c r="D98" t="str">
        <x:v>21</x:v>
      </x:c>
      <x:c r="E98" t="str">
        <x:v>LA SITUATION dans l’ESPACE (2)</x:v>
      </x:c>
      <x:c r="F98" t="str">
        <x:v>Origine géographique: du/de/d’</x:v>
      </x:c>
      <x:c r="G98" t="str">
        <x:v>مبدأ جغرافیایی</x:v>
      </x:c>
      <x:c r="H98" t="str">
        <x:v>مبدأ با du برای مذکر، de برای مؤنث و d’ پیش از واکه بیان می‌شود.</x:v>
      </x:c>
      <x:c r="I98" t="str">
        <x:v>Lesson 21; printed p. 94</x:v>
      </x:c>
      <x:c r="J98" t="str">
        <x:v>stage1-v1.0</x:v>
      </x:c>
    </x:row>
    <x:row r="99">
      <x:c r="A99" t="str">
        <x:v>0ab52be9-3159-469a-81f1-4edec55f47a1</x:v>
      </x:c>
      <x:c r="B99" t="str">
        <x:v>L22-S01</x:v>
      </x:c>
      <x:c r="C99" t="str">
        <x:v>526ffab9-fc9b-4221-997e-e57dfbf9694a</x:v>
      </x:c>
      <x:c r="D99" t="str">
        <x:v>22</x:v>
      </x:c>
      <x:c r="E99" t="str">
        <x:v>LE COMPARATIF et LE SUPERLATIF</x:v>
      </x:c>
      <x:c r="F99" t="str">
        <x:v>Comparatif de qualité</x:v>
      </x:c>
      <x:c r="G99" t="str">
        <x:v>مقایسهٔ کیفیت</x:v>
      </x:c>
      <x:c r="H99" t="str">
        <x:v>plus/aussi/moins + adjectif/adverbe + que شدت کیفیت را مقایسه می‌کند.</x:v>
      </x:c>
      <x:c r="I99" t="str">
        <x:v>Lesson 22; printed p. 96</x:v>
      </x:c>
      <x:c r="J99" t="str">
        <x:v>stage1-v1.0</x:v>
      </x:c>
    </x:row>
    <x:row r="100">
      <x:c r="A100" t="str">
        <x:v>558004ad-110c-443c-80f4-f203de1e60ac</x:v>
      </x:c>
      <x:c r="B100" t="str">
        <x:v>L22-S02</x:v>
      </x:c>
      <x:c r="C100" t="str">
        <x:v>526ffab9-fc9b-4221-997e-e57dfbf9694a</x:v>
      </x:c>
      <x:c r="D100" t="str">
        <x:v>22</x:v>
      </x:c>
      <x:c r="E100" t="str">
        <x:v>LE COMPARATIF et LE SUPERLATIF</x:v>
      </x:c>
      <x:c r="F100" t="str">
        <x:v>Comparatif de quantité</x:v>
      </x:c>
      <x:c r="G100" t="str">
        <x:v>مقایسهٔ کمیت</x:v>
      </x:c>
      <x:c r="H100" t="str">
        <x:v>با فعل یا اسم، plus/autant/moins برای مقایسهٔ مقدار استفاده می‌شود.</x:v>
      </x:c>
      <x:c r="I100" t="str">
        <x:v>Lesson 22; printed p. 96</x:v>
      </x:c>
      <x:c r="J100" t="str">
        <x:v>stage1-v1.0</x:v>
      </x:c>
    </x:row>
    <x:row r="101">
      <x:c r="A101" t="str">
        <x:v>5e3c38ea-1fa3-44ac-a8a9-d9371584e59f</x:v>
      </x:c>
      <x:c r="B101" t="str">
        <x:v>L22-S03</x:v>
      </x:c>
      <x:c r="C101" t="str">
        <x:v>526ffab9-fc9b-4221-997e-e57dfbf9694a</x:v>
      </x:c>
      <x:c r="D101" t="str">
        <x:v>22</x:v>
      </x:c>
      <x:c r="E101" t="str">
        <x:v>LE COMPARATIF et LE SUPERLATIF</x:v>
      </x:c>
      <x:c r="F101" t="str">
        <x:v>Comparaison avec « comme »</x:v>
      </x:c>
      <x:c r="G101" t="str">
        <x:v>شباهت با comme</x:v>
      </x:c>
      <x:c r="H101" t="str">
        <x:v>comme همانندی/شباهت کیفی را بیان می‌کند.</x:v>
      </x:c>
      <x:c r="I101" t="str">
        <x:v>Lesson 22; printed p. 96</x:v>
      </x:c>
      <x:c r="J101" t="str">
        <x:v>stage1-v1.0</x:v>
      </x:c>
    </x:row>
    <x:row r="102">
      <x:c r="A102" t="str">
        <x:v>c446cd47-6800-408e-bdf8-78cb2c529870</x:v>
      </x:c>
      <x:c r="B102" t="str">
        <x:v>L22-S04</x:v>
      </x:c>
      <x:c r="C102" t="str">
        <x:v>526ffab9-fc9b-4221-997e-e57dfbf9694a</x:v>
      </x:c>
      <x:c r="D102" t="str">
        <x:v>22</x:v>
      </x:c>
      <x:c r="E102" t="str">
        <x:v>LE COMPARATIF et LE SUPERLATIF</x:v>
      </x:c>
      <x:c r="F102" t="str">
        <x:v>Superlatif</x:v>
      </x:c>
      <x:c r="G102" t="str">
        <x:v>عالی‌ترین/کمترین</x:v>
      </x:c>
      <x:c r="H102" t="str">
        <x:v>le/la/les + plus/moins + adjectif برای superlatif است.</x:v>
      </x:c>
      <x:c r="I102" t="str">
        <x:v>Lesson 22; printed p. 96</x:v>
      </x:c>
      <x:c r="J102" t="str">
        <x:v>stage1-v1.0</x:v>
      </x:c>
    </x:row>
    <x:row r="103">
      <x:c r="A103" t="str">
        <x:v>735c66e5-9ca8-405b-ae1c-1d5e8a533580</x:v>
      </x:c>
      <x:c r="B103" t="str">
        <x:v>L22-S05</x:v>
      </x:c>
      <x:c r="C103" t="str">
        <x:v>526ffab9-fc9b-4221-997e-e57dfbf9694a</x:v>
      </x:c>
      <x:c r="D103" t="str">
        <x:v>22</x:v>
      </x:c>
      <x:c r="E103" t="str">
        <x:v>LE COMPARATIF et LE SUPERLATIF</x:v>
      </x:c>
      <x:c r="F103" t="str">
        <x:v>« meilleur » vs « mieux »</x:v>
      </x:c>
      <x:c r="G103" t="str">
        <x:v>meilleur در برابر mieux</x:v>
      </x:c>
      <x:c r="H103" t="str">
        <x:v>meilleur شکل مقایسه‌ای bon و mieux شکل مقایسه‌ای bien است.</x:v>
      </x:c>
      <x:c r="I103" t="str">
        <x:v>Lesson 22; printed p. 100</x:v>
      </x:c>
      <x:c r="J103" t="str">
        <x:v>stage1-v1.0</x:v>
      </x:c>
    </x:row>
    <x:row r="104">
      <x:c r="A104" t="str">
        <x:v>50607a6d-4c46-43eb-9631-704ca3f1a8a4</x:v>
      </x:c>
      <x:c r="B104" t="str">
        <x:v>L23-S01</x:v>
      </x:c>
      <x:c r="C104" t="str">
        <x:v>327c43bc-8757-4e51-aff0-9c04775c57cf</x:v>
      </x:c>
      <x:c r="D104" t="str">
        <x:v>23</x:v>
      </x:c>
      <x:c r="E104" t="str">
        <x:v>LE VERBE « ALLER »</x:v>
      </x:c>
      <x:c r="F104" t="str">
        <x:v>Conjugaison de « aller »</x:v>
      </x:c>
      <x:c r="G104" t="str">
        <x:v>صرف aller</x:v>
      </x:c>
      <x:c r="H104" t="str">
        <x:v>aller فعل نامنظم با vais, vas, va, allons, allez, vont است.</x:v>
      </x:c>
      <x:c r="I104" t="str">
        <x:v>Lesson 23; printed p. 102</x:v>
      </x:c>
      <x:c r="J104" t="str">
        <x:v>stage1-v1.0</x:v>
      </x:c>
    </x:row>
    <x:row r="105">
      <x:c r="A105" t="str">
        <x:v>15620efc-5c97-48a8-a7d4-6437cbb2ada7</x:v>
      </x:c>
      <x:c r="B105" t="str">
        <x:v>L23-S02</x:v>
      </x:c>
      <x:c r="C105" t="str">
        <x:v>327c43bc-8757-4e51-aff0-9c04775c57cf</x:v>
      </x:c>
      <x:c r="D105" t="str">
        <x:v>23</x:v>
      </x:c>
      <x:c r="E105" t="str">
        <x:v>LE VERBE « ALLER »</x:v>
      </x:c>
      <x:c r="F105" t="str">
        <x:v>Aller + lieu / chez</x:v>
      </x:c>
      <x:c r="G105" t="str">
        <x:v>aller با مقصد و chez</x:v>
      </x:c>
      <x:c r="H105" t="str">
        <x:v>aller به مقصد با حرف اضافهٔ مناسب و به نزد شخص/حرفه با chez می‌آید.</x:v>
      </x:c>
      <x:c r="I105" t="str">
        <x:v>Lesson 23; printed p. 102</x:v>
      </x:c>
      <x:c r="J105" t="str">
        <x:v>stage1-v1.0</x:v>
      </x:c>
    </x:row>
    <x:row r="106">
      <x:c r="A106" t="str">
        <x:v>c0070cde-3262-46b8-a554-d9ed856927d0</x:v>
      </x:c>
      <x:c r="B106" t="str">
        <x:v>L23-S03</x:v>
      </x:c>
      <x:c r="C106" t="str">
        <x:v>327c43bc-8757-4e51-aff0-9c04775c57cf</x:v>
      </x:c>
      <x:c r="D106" t="str">
        <x:v>23</x:v>
      </x:c>
      <x:c r="E106" t="str">
        <x:v>LE VERBE « ALLER »</x:v>
      </x:c>
      <x:c r="F106" t="str">
        <x:v>Moyens de transport</x:v>
      </x:c>
      <x:c r="G106" t="str">
        <x:v>وسیلهٔ حمل‌ونقل</x:v>
      </x:c>
      <x:c r="H106" t="str">
        <x:v>en با بیشتر وسایل حمل‌ونقل می‌آید.</x:v>
      </x:c>
      <x:c r="I106" t="str">
        <x:v>Lesson 23; printed p. 102</x:v>
      </x:c>
      <x:c r="J106" t="str">
        <x:v>stage1-v1.0</x:v>
      </x:c>
    </x:row>
    <x:row r="107">
      <x:c r="A107" t="str">
        <x:v>d74d7c3e-9a72-4491-a758-a4247310b6f9</x:v>
      </x:c>
      <x:c r="B107" t="str">
        <x:v>L24-S01</x:v>
      </x:c>
      <x:c r="C107" t="str">
        <x:v>e3b468de-4bc2-4b96-b4dc-0bfa0c3d5a85</x:v>
      </x:c>
      <x:c r="D107" t="str">
        <x:v>24</x:v>
      </x:c>
      <x:c r="E107" t="str">
        <x:v>LE PRONOM « Y »</x:v>
      </x:c>
      <x:c r="F107" t="str">
        <x:v>« y » remplace un lieu</x:v>
      </x:c>
      <x:c r="G107" t="str">
        <x:v>y به‌جای مکان</x:v>
      </x:c>
      <x:c r="H107" t="str">
        <x:v>y مکمل مکانی را جایگزین می‌کند.</x:v>
      </x:c>
      <x:c r="I107" t="str">
        <x:v>Lesson 24; printed p. 104</x:v>
      </x:c>
      <x:c r="J107" t="str">
        <x:v>stage1-v1.0</x:v>
      </x:c>
    </x:row>
    <x:row r="108">
      <x:c r="A108" t="str">
        <x:v>e89d41ea-ec9e-4647-9ddc-d1e1def897fb</x:v>
      </x:c>
      <x:c r="B108" t="str">
        <x:v>L24-S02</x:v>
      </x:c>
      <x:c r="C108" t="str">
        <x:v>e3b468de-4bc2-4b96-b4dc-0bfa0c3d5a85</x:v>
      </x:c>
      <x:c r="D108" t="str">
        <x:v>24</x:v>
      </x:c>
      <x:c r="E108" t="str">
        <x:v>LE PRONOM « Y »</x:v>
      </x:c>
      <x:c r="F108" t="str">
        <x:v>« y » remplace « à + chose »</x:v>
      </x:c>
      <x:c r="G108" t="str">
        <x:v>y به‌جای à+چیز</x:v>
      </x:c>
      <x:c r="H108" t="str">
        <x:v>برای چیزها در penser à, participer à, s’intéresser à و مشابه، y مکمل را جایگزین می‌کند.</x:v>
      </x:c>
      <x:c r="I108" t="str">
        <x:v>Lesson 24; printed p. 104</x:v>
      </x:c>
      <x:c r="J108" t="str">
        <x:v>stage1-v1.0</x:v>
      </x:c>
    </x:row>
    <x:row r="109">
      <x:c r="A109" t="str">
        <x:v>60e31850-bea1-4205-ae5e-b2744e1e5164</x:v>
      </x:c>
      <x:c r="B109" t="str">
        <x:v>L24-S03</x:v>
      </x:c>
      <x:c r="C109" t="str">
        <x:v>e3b468de-4bc2-4b96-b4dc-0bfa0c3d5a85</x:v>
      </x:c>
      <x:c r="D109" t="str">
        <x:v>24</x:v>
      </x:c>
      <x:c r="E109" t="str">
        <x:v>LE PRONOM « Y »</x:v>
      </x:c>
      <x:c r="F109" t="str">
        <x:v>Personnes après « à »</x:v>
      </x:c>
      <x:c r="G109" t="str">
        <x:v>شخص پس از à</x:v>
      </x:c>
      <x:c r="H109" t="str">
        <x:v>برای شخص، بسیاری از ساخت‌ها به‌جای y از pronom tonique یا lui/leur استفاده می‌کنند.</x:v>
      </x:c>
      <x:c r="I109" t="str">
        <x:v>Lesson 24; printed p. 104</x:v>
      </x:c>
      <x:c r="J109" t="str">
        <x:v>stage1-v1.0</x:v>
      </x:c>
    </x:row>
    <x:row r="110">
      <x:c r="A110" t="str">
        <x:v>fce5c8b2-31b5-42ee-81ac-e1624d60de14</x:v>
      </x:c>
      <x:c r="B110" t="str">
        <x:v>L24-S04</x:v>
      </x:c>
      <x:c r="C110" t="str">
        <x:v>e3b468de-4bc2-4b96-b4dc-0bfa0c3d5a85</x:v>
      </x:c>
      <x:c r="D110" t="str">
        <x:v>24</x:v>
      </x:c>
      <x:c r="E110" t="str">
        <x:v>LE PRONOM « Y »</x:v>
      </x:c>
      <x:c r="F110" t="str">
        <x:v>Expressions figées avec « y »</x:v>
      </x:c>
      <x:c r="G110" t="str">
        <x:v>عبارت‌های ثابت y</x:v>
      </x:c>
      <x:c r="H110" t="str">
        <x:v>چند عبارت رایج y را به‌صورت جزء تثبیت‌شده دارند.</x:v>
      </x:c>
      <x:c r="I110" t="str">
        <x:v>Lesson 24; printed p. 104</x:v>
      </x:c>
      <x:c r="J110" t="str">
        <x:v>stage1-v1.0</x:v>
      </x:c>
    </x:row>
    <x:row r="111">
      <x:c r="A111" t="str">
        <x:v>6116a265-0854-47df-bd77-e8497f5ded0f</x:v>
      </x:c>
      <x:c r="B111" t="str">
        <x:v>L25-S01</x:v>
      </x:c>
      <x:c r="C111" t="str">
        <x:v>aece8fe7-c303-4257-a531-a3d6e0f242de</x:v>
      </x:c>
      <x:c r="D111" t="str">
        <x:v>25</x:v>
      </x:c>
      <x:c r="E111" t="str">
        <x:v>LA SITUATION dans l’ESPACE et le TEMPS (3)</x:v>
      </x:c>
      <x:c r="F111" t="str">
        <x:v>« à » point spatial/temporel</x:v>
      </x:c>
      <x:c r="G111" t="str">
        <x:v>à برای نقطهٔ مکان/زمان</x:v>
      </x:c>
      <x:c r="H111" t="str">
        <x:v>à نقطهٔ مشخص در مکان یا زمان را معرفی می‌کند.</x:v>
      </x:c>
      <x:c r="I111" t="str">
        <x:v>Lesson 25; printed p. 106</x:v>
      </x:c>
      <x:c r="J111" t="str">
        <x:v>stage1-v1.0</x:v>
      </x:c>
    </x:row>
    <x:row r="112">
      <x:c r="A112" t="str">
        <x:v>b44a169b-4f28-4d4e-8fe2-bd68a14bec40</x:v>
      </x:c>
      <x:c r="B112" t="str">
        <x:v>L25-S02</x:v>
      </x:c>
      <x:c r="C112" t="str">
        <x:v>aece8fe7-c303-4257-a531-a3d6e0f242de</x:v>
      </x:c>
      <x:c r="D112" t="str">
        <x:v>25</x:v>
      </x:c>
      <x:c r="E112" t="str">
        <x:v>LA SITUATION dans l’ESPACE et le TEMPS (3)</x:v>
      </x:c>
      <x:c r="F112" t="str">
        <x:v>« de…à… » intervalle</x:v>
      </x:c>
      <x:c r="G112" t="str">
        <x:v>بازهٔ de…à</x:v>
      </x:c>
      <x:c r="H112" t="str">
        <x:v>de…à فاصله یا بازهٔ میان دو نقطه را بیان می‌کند.</x:v>
      </x:c>
      <x:c r="I112" t="str">
        <x:v>Lesson 25; printed p. 106</x:v>
      </x:c>
      <x:c r="J112" t="str">
        <x:v>stage1-v1.0</x:v>
      </x:c>
    </x:row>
    <x:row r="113">
      <x:c r="A113" t="str">
        <x:v>ce9efb13-98f1-4f9c-b71a-15411574732b</x:v>
      </x:c>
      <x:c r="B113" t="str">
        <x:v>L25-S03</x:v>
      </x:c>
      <x:c r="C113" t="str">
        <x:v>aece8fe7-c303-4257-a531-a3d6e0f242de</x:v>
      </x:c>
      <x:c r="D113" t="str">
        <x:v>25</x:v>
      </x:c>
      <x:c r="E113" t="str">
        <x:v>LA SITUATION dans l’ESPACE et le TEMPS (3)</x:v>
      </x:c>
      <x:c r="F113" t="str">
        <x:v>« jusqu’à » limite finale</x:v>
      </x:c>
      <x:c r="G113" t="str">
        <x:v>حد نهایی با jusqu’à</x:v>
      </x:c>
      <x:c r="H113" t="str">
        <x:v>jusqu’à پایان/مرز نهایی حرکت یا زمان را مشخص می‌کند.</x:v>
      </x:c>
      <x:c r="I113" t="str">
        <x:v>Lesson 25; printed p. 106</x:v>
      </x:c>
      <x:c r="J113" t="str">
        <x:v>stage1-v1.0</x:v>
      </x:c>
    </x:row>
    <x:row r="114">
      <x:c r="A114" t="str">
        <x:v>a7b92bcb-fb8b-4cbe-864e-ba7d91cf86a2</x:v>
      </x:c>
      <x:c r="B114" t="str">
        <x:v>L25-S04</x:v>
      </x:c>
      <x:c r="C114" t="str">
        <x:v>aece8fe7-c303-4257-a531-a3d6e0f242de</x:v>
      </x:c>
      <x:c r="D114" t="str">
        <x:v>25</x:v>
      </x:c>
      <x:c r="E114" t="str">
        <x:v>LA SITUATION dans l’ESPACE et le TEMPS (3)</x:v>
      </x:c>
      <x:c r="F114" t="str">
        <x:v>« à partir de » point de départ</x:v>
      </x:c>
      <x:c r="G114" t="str">
        <x:v>آغاز با à partir de</x:v>
      </x:c>
      <x:c r="H114" t="str">
        <x:v>à partir de شروع یک بازه یا وضعیت را بیان می‌کند.</x:v>
      </x:c>
      <x:c r="I114" t="str">
        <x:v>Lesson 25; printed p. 106</x:v>
      </x:c>
      <x:c r="J114" t="str">
        <x:v>stage1-v1.0</x:v>
      </x:c>
    </x:row>
    <x:row r="115">
      <x:c r="A115" t="str">
        <x:v>5f6c62e9-ec9a-4e8f-87cb-bbde0201628d</x:v>
      </x:c>
      <x:c r="B115" t="str">
        <x:v>L25-S05</x:v>
      </x:c>
      <x:c r="C115" t="str">
        <x:v>aece8fe7-c303-4257-a531-a3d6e0f242de</x:v>
      </x:c>
      <x:c r="D115" t="str">
        <x:v>25</x:v>
      </x:c>
      <x:c r="E115" t="str">
        <x:v>LA SITUATION dans l’ESPACE et le TEMPS (3)</x:v>
      </x:c>
      <x:c r="F115" t="str">
        <x:v>Approximation « vers/environ »</x:v>
      </x:c>
      <x:c r="G115" t="str">
        <x:v>تقریب vers/environ</x:v>
      </x:c>
      <x:c r="H115" t="str">
        <x:v>vers برای زمان تقریبی و environ برای کمیت/زمان تقریبی به‌کار می‌رود.</x:v>
      </x:c>
      <x:c r="I115" t="str">
        <x:v>Lesson 25; printed p. 106</x:v>
      </x:c>
      <x:c r="J115" t="str">
        <x:v>stage1-v1.0</x:v>
      </x:c>
    </x:row>
    <x:row r="116">
      <x:c r="A116" t="str">
        <x:v>b852b77d-c1dd-4271-8fb9-fa5e05b5f60f</x:v>
      </x:c>
      <x:c r="B116" t="str">
        <x:v>L25-S06</x:v>
      </x:c>
      <x:c r="C116" t="str">
        <x:v>aece8fe7-c303-4257-a531-a3d6e0f242de</x:v>
      </x:c>
      <x:c r="D116" t="str">
        <x:v>25</x:v>
      </x:c>
      <x:c r="E116" t="str">
        <x:v>LA SITUATION dans l’ESPACE et le TEMPS (3)</x:v>
      </x:c>
      <x:c r="F116" t="str">
        <x:v>« entre » vs « parmi »</x:v>
      </x:c>
      <x:c r="G116" t="str">
        <x:v>entre در برابر parmi</x:v>
      </x:c>
      <x:c r="H116" t="str">
        <x:v>entre میان دو عنصر یا رابطهٔ دوتایی و parmi در میان چند عنصر/گروه استفاده می‌شود.</x:v>
      </x:c>
      <x:c r="I116" t="str">
        <x:v>Lesson 25; printed p. 106</x:v>
      </x:c>
      <x:c r="J116" t="str">
        <x:v>stage1-v1.0</x:v>
      </x:c>
    </x:row>
    <x:row r="117">
      <x:c r="A117" t="str">
        <x:v>46729a03-c290-4b0a-95fd-4bcdadd158e6</x:v>
      </x:c>
      <x:c r="B117" t="str">
        <x:v>L26-S01</x:v>
      </x:c>
      <x:c r="C117" t="str">
        <x:v>6ad0bf53-cab8-4037-8548-6e73441d1620</x:v>
      </x:c>
      <x:c r="D117" t="str">
        <x:v>26</x:v>
      </x:c>
      <x:c r="E117" t="str">
        <x:v>LES VERBES en « -IR », « -OIR » et « -RE » au PRÉSENT</x:v>
      </x:c>
      <x:c r="F117" t="str">
        <x:v>Verbes en -ir à deux radicaux: type finir</x:v>
      </x:c>
      <x:c r="G117" t="str">
        <x:v>افعال -ir نوع finir</x:v>
      </x:c>
      <x:c r="H117" t="str">
        <x:v>در نوع finir، ریشهٔ مفرد و جمع متفاوت است: fini- / finiss-.</x:v>
      </x:c>
      <x:c r="I117" t="str">
        <x:v>Lesson 26; printed p. 108</x:v>
      </x:c>
      <x:c r="J117" t="str">
        <x:v>stage1-v1.0</x:v>
      </x:c>
    </x:row>
    <x:row r="118">
      <x:c r="A118" t="str">
        <x:v>b0af8955-a70b-479c-ae4c-d8620dc91a33</x:v>
      </x:c>
      <x:c r="B118" t="str">
        <x:v>L26-S02</x:v>
      </x:c>
      <x:c r="C118" t="str">
        <x:v>6ad0bf53-cab8-4037-8548-6e73441d1620</x:v>
      </x:c>
      <x:c r="D118" t="str">
        <x:v>26</x:v>
      </x:c>
      <x:c r="E118" t="str">
        <x:v>LES VERBES en « -IR », « -OIR » et « -RE » au PRÉSENT</x:v>
      </x:c>
      <x:c r="F118" t="str">
        <x:v>Type dormir/partir/servir</x:v>
      </x:c>
      <x:c r="G118" t="str">
        <x:v>الگوی dormir/partir/servir</x:v>
      </x:c>
      <x:c r="H118" t="str">
        <x:v>در برخی افعال -ir ریشهٔ مفرد کوتاه‌تر از جمع است.</x:v>
      </x:c>
      <x:c r="I118" t="str">
        <x:v>Lesson 26; printed p. 108</x:v>
      </x:c>
      <x:c r="J118" t="str">
        <x:v>stage1-v1.0</x:v>
      </x:c>
    </x:row>
    <x:row r="119">
      <x:c r="A119" t="str">
        <x:v>a639f7d8-d6c4-49c0-955e-ec660e3de47e</x:v>
      </x:c>
      <x:c r="B119" t="str">
        <x:v>L26-S03</x:v>
      </x:c>
      <x:c r="C119" t="str">
        <x:v>6ad0bf53-cab8-4037-8548-6e73441d1620</x:v>
      </x:c>
      <x:c r="D119" t="str">
        <x:v>26</x:v>
      </x:c>
      <x:c r="E119" t="str">
        <x:v>LES VERBES en « -IR », « -OIR » et « -RE » au PRÉSENT</x:v>
      </x:c>
      <x:c r="F119" t="str">
        <x:v>Verbes en -ir à un radical</x:v>
      </x:c>
      <x:c r="G119" t="str">
        <x:v>افعال -ir یک‌ریشه‌ای</x:v>
      </x:c>
      <x:c r="H119" t="str">
        <x:v>برخی افعال مانند ouvrir/offrir/cueillir/souffrir یک ریشه دارند و از نظر پایان شبیه -er صرف می‌شوند.</x:v>
      </x:c>
      <x:c r="I119" t="str">
        <x:v>Lesson 26; printed p. 110</x:v>
      </x:c>
      <x:c r="J119" t="str">
        <x:v>stage1-v1.0</x:v>
      </x:c>
    </x:row>
    <x:row r="120">
      <x:c r="A120" t="str">
        <x:v>e2a4eabe-1307-4ae0-a26f-7aaade830a89</x:v>
      </x:c>
      <x:c r="B120" t="str">
        <x:v>L26-S04</x:v>
      </x:c>
      <x:c r="C120" t="str">
        <x:v>6ad0bf53-cab8-4037-8548-6e73441d1620</x:v>
      </x:c>
      <x:c r="D120" t="str">
        <x:v>26</x:v>
      </x:c>
      <x:c r="E120" t="str">
        <x:v>LES VERBES en « -IR », « -OIR » et « -RE » au PRÉSENT</x:v>
      </x:c>
      <x:c r="F120" t="str">
        <x:v>Verbes en -re/-oir à deux radicaux</x:v>
      </x:c>
      <x:c r="G120" t="str">
        <x:v>افعال -re/-oir دو‌ریشه‌ای</x:v>
      </x:c>
      <x:c r="H120" t="str">
        <x:v>گروه‌هایی مانند mettre/entendre و افعال با ریشهٔ طولانی‌تر در جمع الگوهای چندریشه‌ای دارند.</x:v>
      </x:c>
      <x:c r="I120" t="str">
        <x:v>Lesson 26; printed p. 110</x:v>
      </x:c>
      <x:c r="J120" t="str">
        <x:v>stage1-v1.0</x:v>
      </x:c>
    </x:row>
    <x:row r="121">
      <x:c r="A121" t="str">
        <x:v>cd06c365-6e9d-40e5-891a-61c0762144b9</x:v>
      </x:c>
      <x:c r="B121" t="str">
        <x:v>L26-S05</x:v>
      </x:c>
      <x:c r="C121" t="str">
        <x:v>6ad0bf53-cab8-4037-8548-6e73441d1620</x:v>
      </x:c>
      <x:c r="D121" t="str">
        <x:v>26</x:v>
      </x:c>
      <x:c r="E121" t="str">
        <x:v>LES VERBES en « -IR », « -OIR » et « -RE » au PRÉSENT</x:v>
      </x:c>
      <x:c r="F121" t="str">
        <x:v>Verbes à trois radicaux</x:v>
      </x:c>
      <x:c r="G121" t="str">
        <x:v>افعال سه‌ریشه‌ای</x:v>
      </x:c>
      <x:c r="H121" t="str">
        <x:v>prendre, boire, venir, tenir, recevoir, devoir, vouloir, pouvoir از افعال سه‌ریشه‌ای‌اند.</x:v>
      </x:c>
      <x:c r="I121" t="str">
        <x:v>Lesson 26; printed p. 112</x:v>
      </x:c>
      <x:c r="J121" t="str">
        <x:v>stage1-v1.0</x:v>
      </x:c>
    </x:row>
    <x:row r="122">
      <x:c r="A122" t="str">
        <x:v>a6e8c239-446c-440c-ac12-e034c6668d61</x:v>
      </x:c>
      <x:c r="B122" t="str">
        <x:v>L26-S06</x:v>
      </x:c>
      <x:c r="C122" t="str">
        <x:v>6ad0bf53-cab8-4037-8548-6e73441d1620</x:v>
      </x:c>
      <x:c r="D122" t="str">
        <x:v>26</x:v>
      </x:c>
      <x:c r="E122" t="str">
        <x:v>LES VERBES en « -IR », « -OIR » et « -RE » au PRÉSENT</x:v>
      </x:c>
      <x:c r="F122" t="str">
        <x:v>Verbes très irréguliers</x:v>
      </x:c>
      <x:c r="G122" t="str">
        <x:v>افعال بسیار نامنظم</x:v>
      </x:c>
      <x:c r="H122" t="str">
        <x:v>être, avoir, aller, faire, dire صورت‌های بسیار نامنظم دارند.</x:v>
      </x:c>
      <x:c r="I122" t="str">
        <x:v>Lesson 26; printed p. 112</x:v>
      </x:c>
      <x:c r="J122" t="str">
        <x:v>stage1-v1.0</x:v>
      </x:c>
    </x:row>
    <x:row r="123">
      <x:c r="A123" t="str">
        <x:v>8945b0c2-b476-4f50-a2cd-1a51bc0a5304</x:v>
      </x:c>
      <x:c r="B123" t="str">
        <x:v>L26-S07</x:v>
      </x:c>
      <x:c r="C123" t="str">
        <x:v>6ad0bf53-cab8-4037-8548-6e73441d1620</x:v>
      </x:c>
      <x:c r="D123" t="str">
        <x:v>26</x:v>
      </x:c>
      <x:c r="E123" t="str">
        <x:v>LES VERBES en « -IR », « -OIR » et « -RE » au PRÉSENT</x:v>
      </x:c>
      <x:c r="F123" t="str">
        <x:v>« prendre »: emplois</x:v>
      </x:c>
      <x:c r="G123" t="str">
        <x:v>کاربردهای prendre</x:v>
      </x:c>
      <x:c r="H123" t="str">
        <x:v>prendre با اشیا، حمل‌ونقل، غذا/نوشیدنی و چند عبارت ثابت به‌کار می‌رود.</x:v>
      </x:c>
      <x:c r="I123" t="str">
        <x:v>Lesson 26; printed p. 116</x:v>
      </x:c>
      <x:c r="J123" t="str">
        <x:v>stage1-v1.0</x:v>
      </x:c>
    </x:row>
    <x:row r="124">
      <x:c r="A124" t="str">
        <x:v>598ce67e-c399-4104-929d-f800e1dca8be</x:v>
      </x:c>
      <x:c r="B124" t="str">
        <x:v>L26-S08</x:v>
      </x:c>
      <x:c r="C124" t="str">
        <x:v>6ad0bf53-cab8-4037-8548-6e73441d1620</x:v>
      </x:c>
      <x:c r="D124" t="str">
        <x:v>26</x:v>
      </x:c>
      <x:c r="E124" t="str">
        <x:v>LES VERBES en « -IR », « -OIR » et « -RE » au PRÉSENT</x:v>
      </x:c>
      <x:c r="F124" t="str">
        <x:v>« mettre » et temps/vêtements</x:v>
      </x:c>
      <x:c r="G124" t="str">
        <x:v>mettre و زمان/پوشاک</x:v>
      </x:c>
      <x:c r="H124" t="str">
        <x:v>mettre برای قرار دادن/پوشیدن و نیز بیان مدت لازم در ساخت‌هایی مانند ça met… به‌کار می‌رود.</x:v>
      </x:c>
      <x:c r="I124" t="str">
        <x:v>Lesson 26; printed p. 116</x:v>
      </x:c>
      <x:c r="J124" t="str">
        <x:v>stage1-v1.0</x:v>
      </x:c>
    </x:row>
    <x:row r="125">
      <x:c r="A125" t="str">
        <x:v>4f709e29-e3e2-48b6-aac6-219482d35c05</x:v>
      </x:c>
      <x:c r="B125" t="str">
        <x:v>L26-S09</x:v>
      </x:c>
      <x:c r="C125" t="str">
        <x:v>6ad0bf53-cab8-4037-8548-6e73441d1620</x:v>
      </x:c>
      <x:c r="D125" t="str">
        <x:v>26</x:v>
      </x:c>
      <x:c r="E125" t="str">
        <x:v>LES VERBES en « -IR », « -OIR » et « -RE » au PRÉSENT</x:v>
      </x:c>
      <x:c r="F125" t="str">
        <x:v>« faire » + activité / causatif</x:v>
      </x:c>
      <x:c r="G125" t="str">
        <x:v>faire با فعالیت و سببی</x:v>
      </x:c>
      <x:c r="H125" t="str">
        <x:v>faire de + ورزش، jouer à + بازی/ورزش گروهی، jouer de + ساز و faire + infinitif برای سببی‌کردن است.</x:v>
      </x:c>
      <x:c r="I125" t="str">
        <x:v>Lesson 26; printed p. 116</x:v>
      </x:c>
      <x:c r="J125" t="str">
        <x:v>stage1-v1.0</x:v>
      </x:c>
    </x:row>
    <x:row r="126">
      <x:c r="A126" t="str">
        <x:v>46bba0e5-9062-4cde-87b1-a45278d55245</x:v>
      </x:c>
      <x:c r="B126" t="str">
        <x:v>L26-S10</x:v>
      </x:c>
      <x:c r="C126" t="str">
        <x:v>6ad0bf53-cab8-4037-8548-6e73441d1620</x:v>
      </x:c>
      <x:c r="D126" t="str">
        <x:v>26</x:v>
      </x:c>
      <x:c r="E126" t="str">
        <x:v>LES VERBES en « -IR », « -OIR » et « -RE » au PRÉSENT</x:v>
      </x:c>
      <x:c r="F126" t="str">
        <x:v>« pouvoir » capacité/permission</x:v>
      </x:c>
      <x:c r="G126" t="str">
        <x:v>pouvoir: توانایی/اجازه</x:v>
      </x:c>
      <x:c r="H126" t="str">
        <x:v>pouvoir + infinitif توانایی جسمی/ذهنی، امکان یا اجازه را بیان می‌کند.</x:v>
      </x:c>
      <x:c r="I126" t="str">
        <x:v>Lesson 26; printed p. 118</x:v>
      </x:c>
      <x:c r="J126" t="str">
        <x:v>stage1-v1.0</x:v>
      </x:c>
    </x:row>
    <x:row r="127">
      <x:c r="A127" t="str">
        <x:v>d06f2960-4d1d-49c2-8785-e679d57207de</x:v>
      </x:c>
      <x:c r="B127" t="str">
        <x:v>L26-S11</x:v>
      </x:c>
      <x:c r="C127" t="str">
        <x:v>6ad0bf53-cab8-4037-8548-6e73441d1620</x:v>
      </x:c>
      <x:c r="D127" t="str">
        <x:v>26</x:v>
      </x:c>
      <x:c r="E127" t="str">
        <x:v>LES VERBES en « -IR », « -OIR » et « -RE » au PRÉSENT</x:v>
      </x:c>
      <x:c r="F127" t="str">
        <x:v>« devoir » obligation/probabilité</x:v>
      </x:c>
      <x:c r="G127" t="str">
        <x:v>devoir: الزام/احتمال</x:v>
      </x:c>
      <x:c r="H127" t="str">
        <x:v>devoir + infinitif می‌تواند الزام یا احتمال/استنباط باشد.</x:v>
      </x:c>
      <x:c r="I127" t="str">
        <x:v>Lesson 26; printed p. 118</x:v>
      </x:c>
      <x:c r="J127" t="str">
        <x:v>stage1-v1.0</x:v>
      </x:c>
    </x:row>
    <x:row r="128">
      <x:c r="A128" t="str">
        <x:v>9de8d9be-db3b-42d4-9d36-91c715a90b26</x:v>
      </x:c>
      <x:c r="B128" t="str">
        <x:v>L26-S12</x:v>
      </x:c>
      <x:c r="C128" t="str">
        <x:v>6ad0bf53-cab8-4037-8548-6e73441d1620</x:v>
      </x:c>
      <x:c r="D128" t="str">
        <x:v>26</x:v>
      </x:c>
      <x:c r="E128" t="str">
        <x:v>LES VERBES en « -IR », « -OIR » et « -RE » au PRÉSENT</x:v>
      </x:c>
      <x:c r="F128" t="str">
        <x:v>« falloir » nécessité impersonnelle</x:v>
      </x:c>
      <x:c r="G128" t="str">
        <x:v>falloir بی‌شخص</x:v>
      </x:c>
      <x:c r="H128" t="str">
        <x:v>il faut + infinitif ضرورت عمومی را بیان می‌کند و فقط بی‌شخص صرف می‌شود.</x:v>
      </x:c>
      <x:c r="I128" t="str">
        <x:v>Lesson 26; printed p. 118</x:v>
      </x:c>
      <x:c r="J128" t="str">
        <x:v>stage1-v1.0</x:v>
      </x:c>
    </x:row>
    <x:row r="129">
      <x:c r="A129" t="str">
        <x:v>6b87d60a-cf04-4170-8c76-09837ef23780</x:v>
      </x:c>
      <x:c r="B129" t="str">
        <x:v>L26-S13</x:v>
      </x:c>
      <x:c r="C129" t="str">
        <x:v>6ad0bf53-cab8-4037-8548-6e73441d1620</x:v>
      </x:c>
      <x:c r="D129" t="str">
        <x:v>26</x:v>
      </x:c>
      <x:c r="E129" t="str">
        <x:v>LES VERBES en « -IR », « -OIR » et « -RE » au PRÉSENT</x:v>
      </x:c>
      <x:c r="F129" t="str">
        <x:v>« savoir » vs « connaître »</x:v>
      </x:c>
      <x:c r="G129" t="str">
        <x:v>savoir در برابر connaître</x:v>
      </x:c>
      <x:c r="H129" t="str">
        <x:v>savoir با فعل/گزاره/مهارت و connaître با اسم/آشنایی می‌آید.</x:v>
      </x:c>
      <x:c r="I129" t="str">
        <x:v>Lesson 26; printed p. 120</x:v>
      </x:c>
      <x:c r="J129" t="str">
        <x:v>stage1-v1.0</x:v>
      </x:c>
    </x:row>
    <x:row r="130">
      <x:c r="A130" t="str">
        <x:v>ba7d0590-05db-4cb6-a00a-dce0b31e56df</x:v>
      </x:c>
      <x:c r="B130" t="str">
        <x:v>L26-S14</x:v>
      </x:c>
      <x:c r="C130" t="str">
        <x:v>6ad0bf53-cab8-4037-8548-6e73441d1620</x:v>
      </x:c>
      <x:c r="D130" t="str">
        <x:v>26</x:v>
      </x:c>
      <x:c r="E130" t="str">
        <x:v>LES VERBES en « -IR », « -OIR » et « -RE » au PRÉSENT</x:v>
      </x:c>
      <x:c r="F130" t="str">
        <x:v>« vouloir » + infinitif</x:v>
      </x:c>
      <x:c r="G130" t="str">
        <x:v>vouloir + مصدر</x:v>
      </x:c>
      <x:c r="H130" t="str">
        <x:v>vouloir + infinitif خواست/اراده را بیان می‌کند و حرف اضافه نمی‌گیرد.</x:v>
      </x:c>
      <x:c r="I130" t="str">
        <x:v>Lesson 26; printed p. 120</x:v>
      </x:c>
      <x:c r="J130" t="str">
        <x:v>stage1-v1.0</x:v>
      </x:c>
    </x:row>
    <x:row r="131">
      <x:c r="A131" t="str">
        <x:v>3f02a6fe-03ab-4d22-9681-421ba4abb712</x:v>
      </x:c>
      <x:c r="B131" t="str">
        <x:v>L27-S01</x:v>
      </x:c>
      <x:c r="C131" t="str">
        <x:v>e5bfdde7-6889-4829-ad65-06a572af5f97</x:v>
      </x:c>
      <x:c r="D131" t="str">
        <x:v>27</x:v>
      </x:c>
      <x:c r="E131" t="str">
        <x:v>LES VERBES PRONOMINAUX</x:v>
      </x:c>
      <x:c r="F131" t="str">
        <x:v>Verbes réfléchis</x:v>
      </x:c>
      <x:c r="G131" t="str">
        <x:v>افعال بازتابی</x:v>
      </x:c>
      <x:c r="H131" t="str">
        <x:v>در فعل بازتابی فاعل و مفعول به یک مرجع اشاره می‌کنند.</x:v>
      </x:c>
      <x:c r="I131" t="str">
        <x:v>Lesson 27; printed p. 122</x:v>
      </x:c>
      <x:c r="J131" t="str">
        <x:v>stage1-v1.0</x:v>
      </x:c>
    </x:row>
    <x:row r="132">
      <x:c r="A132" t="str">
        <x:v>29b519f6-c143-41ae-88ff-3cff61fbe731</x:v>
      </x:c>
      <x:c r="B132" t="str">
        <x:v>L27-S02</x:v>
      </x:c>
      <x:c r="C132" t="str">
        <x:v>e5bfdde7-6889-4829-ad65-06a572af5f97</x:v>
      </x:c>
      <x:c r="D132" t="str">
        <x:v>27</x:v>
      </x:c>
      <x:c r="E132" t="str">
        <x:v>LES VERBES PRONOMINAUX</x:v>
      </x:c>
      <x:c r="F132" t="str">
        <x:v>Verbes réciproques</x:v>
      </x:c>
      <x:c r="G132" t="str">
        <x:v>افعال متقابل</x:v>
      </x:c>
      <x:c r="H132" t="str">
        <x:v>در ساخت متقابل اعضای فاعل جمع عمل را نسبت به یکدیگر انجام می‌دهند.</x:v>
      </x:c>
      <x:c r="I132" t="str">
        <x:v>Lesson 27; printed p. 122</x:v>
      </x:c>
      <x:c r="J132" t="str">
        <x:v>stage1-v1.0</x:v>
      </x:c>
    </x:row>
    <x:row r="133">
      <x:c r="A133" t="str">
        <x:v>cedf15b4-abf7-4d04-ba1c-180dd546d565</x:v>
      </x:c>
      <x:c r="B133" t="str">
        <x:v>L27-S03</x:v>
      </x:c>
      <x:c r="C133" t="str">
        <x:v>e5bfdde7-6889-4829-ad65-06a572af5f97</x:v>
      </x:c>
      <x:c r="D133" t="str">
        <x:v>27</x:v>
      </x:c>
      <x:c r="E133" t="str">
        <x:v>LES VERBES PRONOMINAUX</x:v>
      </x:c>
      <x:c r="F133" t="str">
        <x:v>Verbes pronominaux lexicaux</x:v>
      </x:c>
      <x:c r="G133" t="str">
        <x:v>افعال pronominal واژگانی</x:v>
      </x:c>
      <x:c r="H133" t="str">
        <x:v>برخی افعال pronominal معنای مستقیم بازتابی ندارند و باید واحد واژگانی باشند.</x:v>
      </x:c>
      <x:c r="I133" t="str">
        <x:v>Lesson 27; printed p. 122</x:v>
      </x:c>
      <x:c r="J133" t="str">
        <x:v>stage1-v1.0</x:v>
      </x:c>
    </x:row>
    <x:row r="134">
      <x:c r="A134" t="str">
        <x:v>3dce4650-243b-4059-8d60-e64ed6a66215</x:v>
      </x:c>
      <x:c r="B134" t="str">
        <x:v>L27-S04</x:v>
      </x:c>
      <x:c r="C134" t="str">
        <x:v>e5bfdde7-6889-4829-ad65-06a572af5f97</x:v>
      </x:c>
      <x:c r="D134" t="str">
        <x:v>27</x:v>
      </x:c>
      <x:c r="E134" t="str">
        <x:v>LES VERBES PRONOMINAUX</x:v>
      </x:c>
      <x:c r="F134" t="str">
        <x:v>Négation des verbes pronominaux</x:v>
      </x:c>
      <x:c r="G134" t="str">
        <x:v>نفی افعال pronominal</x:v>
      </x:c>
      <x:c r="H134" t="str">
        <x:v>در نفی، ne و pas پیرامون بلوک pronom + verbe قرار می‌گیرند.</x:v>
      </x:c>
      <x:c r="I134" t="str">
        <x:v>Lesson 27; printed p. 122</x:v>
      </x:c>
      <x:c r="J134" t="str">
        <x:v>stage1-v1.0</x:v>
      </x:c>
    </x:row>
    <x:row r="135">
      <x:c r="A135" t="str">
        <x:v>cd160413-905e-4e55-9b1e-d5836b788b9e</x:v>
      </x:c>
      <x:c r="B135" t="str">
        <x:v>L28-S01</x:v>
      </x:c>
      <x:c r="C135" t="str">
        <x:v>2ad099b6-e9f4-4b96-8883-d88977fc94b4</x:v>
      </x:c>
      <x:c r="D135" t="str">
        <x:v>28</x:v>
      </x:c>
      <x:c r="E135" t="str">
        <x:v>LES PRONOMS COMPLÉMENTS</x:v>
      </x:c>
      <x:c r="F135" t="str">
        <x:v>Pronoms compléments directs</x:v>
      </x:c>
      <x:c r="G135" t="str">
        <x:v>ضمیر مفعولی مستقیم</x:v>
      </x:c>
      <x:c r="H135" t="str">
        <x:v>me/te/le/la/nous/vous/les مفعول مستقیم شخص یا چیز را جایگزین می‌کنند.</x:v>
      </x:c>
      <x:c r="I135" t="str">
        <x:v>Lesson 28; printed p. 124</x:v>
      </x:c>
      <x:c r="J135" t="str">
        <x:v>stage1-v1.0</x:v>
      </x:c>
    </x:row>
    <x:row r="136">
      <x:c r="A136" t="str">
        <x:v>1062ddfc-79a8-4a33-a3f7-c2fa0ef6ad25</x:v>
      </x:c>
      <x:c r="B136" t="str">
        <x:v>L28-S02</x:v>
      </x:c>
      <x:c r="C136" t="str">
        <x:v>2ad099b6-e9f4-4b96-8883-d88977fc94b4</x:v>
      </x:c>
      <x:c r="D136" t="str">
        <x:v>28</x:v>
      </x:c>
      <x:c r="E136" t="str">
        <x:v>LES PRONOMS COMPLÉMENTS</x:v>
      </x:c>
      <x:c r="F136" t="str">
        <x:v>Le/la/les avec personnes</x:v>
      </x:c>
      <x:c r="G136" t="str">
        <x:v>le/la/les برای شخص</x:v>
      </x:c>
      <x:c r="H136" t="str">
        <x:v>با افعالی مانند aimer/connaître، شخصِ مفعول مستقیم با le/la/les جایگزین می‌شود.</x:v>
      </x:c>
      <x:c r="I136" t="str">
        <x:v>Lesson 28; printed p. 124</x:v>
      </x:c>
      <x:c r="J136" t="str">
        <x:v>stage1-v1.0</x:v>
      </x:c>
    </x:row>
    <x:row r="137">
      <x:c r="A137" t="str">
        <x:v>1d9cdcf6-5215-4855-a653-085f927b707d</x:v>
      </x:c>
      <x:c r="B137" t="str">
        <x:v>L28-S03</x:v>
      </x:c>
      <x:c r="C137" t="str">
        <x:v>2ad099b6-e9f4-4b96-8883-d88977fc94b4</x:v>
      </x:c>
      <x:c r="D137" t="str">
        <x:v>28</x:v>
      </x:c>
      <x:c r="E137" t="str">
        <x:v>LES PRONOMS COMPLÉMENTS</x:v>
      </x:c>
      <x:c r="F137" t="str">
        <x:v>Pronoms indirects « lui/leur »</x:v>
      </x:c>
      <x:c r="G137" t="str">
        <x:v>lui/leur</x:v>
      </x:c>
      <x:c r="H137" t="str">
        <x:v>lui/leur برای شخصی که با à به افعال ارتباطی و مشابه وصل است به‌کار می‌رود.</x:v>
      </x:c>
      <x:c r="I137" t="str">
        <x:v>Lesson 28; printed p. 126</x:v>
      </x:c>
      <x:c r="J137" t="str">
        <x:v>stage1-v1.0</x:v>
      </x:c>
    </x:row>
    <x:row r="138">
      <x:c r="A138" t="str">
        <x:v>c84d13cb-164e-43de-bbad-4f83bf7291ba</x:v>
      </x:c>
      <x:c r="B138" t="str">
        <x:v>L28-S04</x:v>
      </x:c>
      <x:c r="C138" t="str">
        <x:v>2ad099b6-e9f4-4b96-8883-d88977fc94b4</x:v>
      </x:c>
      <x:c r="D138" t="str">
        <x:v>28</x:v>
      </x:c>
      <x:c r="E138" t="str">
        <x:v>LES PRONOMS COMPLÉMENTS</x:v>
      </x:c>
      <x:c r="F138" t="str">
        <x:v>Verbes avec pronom tonique après « à »</x:v>
      </x:c>
      <x:c r="G138" t="str">
        <x:v>افعال با ضمیر تونیک پس از à</x:v>
      </x:c>
      <x:c r="H138" t="str">
        <x:v>برخی افعال مانند penser à و s’intéresser à برای شخص pronom tonique می‌گیرند نه lui/leur.</x:v>
      </x:c>
      <x:c r="I138" t="str">
        <x:v>Lesson 28; printed p. 126</x:v>
      </x:c>
      <x:c r="J138" t="str">
        <x:v>stage1-v1.0</x:v>
      </x:c>
    </x:row>
    <x:row r="139">
      <x:c r="A139" t="str">
        <x:v>2abd1f5c-264e-463b-826d-0cd0a34c5147</x:v>
      </x:c>
      <x:c r="B139" t="str">
        <x:v>L28-S05</x:v>
      </x:c>
      <x:c r="C139" t="str">
        <x:v>2ad099b6-e9f4-4b96-8883-d88977fc94b4</x:v>
      </x:c>
      <x:c r="D139" t="str">
        <x:v>28</x:v>
      </x:c>
      <x:c r="E139" t="str">
        <x:v>LES PRONOMS COMPLÉMENTS</x:v>
      </x:c>
      <x:c r="F139" t="str">
        <x:v>Résumé le/la/les - lui/leur - y - en</x:v>
      </x:c>
      <x:c r="G139" t="str">
        <x:v>نقشهٔ انتخاب ضمیر</x:v>
      </x:c>
      <x:c r="H139" t="str">
        <x:v>COD→le/la/les؛ à+شخص در افعال مناسب→lui/leur؛ à+چیز→y؛ de+چیز/partitif→en.</x:v>
      </x:c>
      <x:c r="I139" t="str">
        <x:v>Lesson 28; printed p. 128</x:v>
      </x:c>
      <x:c r="J139" t="str">
        <x:v>stage1-v1.0</x:v>
      </x:c>
    </x:row>
    <x:row r="140">
      <x:c r="A140" t="str">
        <x:v>963fc3ba-876c-4f68-bb46-a1813d9dcbda</x:v>
      </x:c>
      <x:c r="B140" t="str">
        <x:v>L28-S06</x:v>
      </x:c>
      <x:c r="C140" t="str">
        <x:v>2ad099b6-e9f4-4b96-8883-d88977fc94b4</x:v>
      </x:c>
      <x:c r="D140" t="str">
        <x:v>28</x:v>
      </x:c>
      <x:c r="E140" t="str">
        <x:v>LES PRONOMS COMPLÉMENTS</x:v>
      </x:c>
      <x:c r="F140" t="str">
        <x:v>Ordre de plusieurs pronoms</x:v>
      </x:c>
      <x:c r="G140" t="str">
        <x:v>ترتیب چند ضمیر</x:v>
      </x:c>
      <x:c r="H140" t="str">
        <x:v>ترتیب استاندارد: me/te/se/nous/vous → le/la/les → lui/leur → y → en.</x:v>
      </x:c>
      <x:c r="I140" t="str">
        <x:v>Lesson 28; printed p. 128</x:v>
      </x:c>
      <x:c r="J140" t="str">
        <x:v>stage1-v1.0</x:v>
      </x:c>
    </x:row>
    <x:row r="141">
      <x:c r="A141" t="str">
        <x:v>ab16147b-2958-467e-b95b-ab532ce6c812</x:v>
      </x:c>
      <x:c r="B141" t="str">
        <x:v>L29-S01</x:v>
      </x:c>
      <x:c r="C141" t="str">
        <x:v>0259af3a-8df3-4f28-ad02-62a99368c409</x:v>
      </x:c>
      <x:c r="D141" t="str">
        <x:v>29</x:v>
      </x:c>
      <x:c r="E141" t="str">
        <x:v>LES PRONOMS TONIQUES</x:v>
      </x:c>
      <x:c r="F141" t="str">
        <x:v>Formes toniques</x:v>
      </x:c>
      <x:c r="G141" t="str">
        <x:v>صورت‌های تونیک</x:v>
      </x:c>
      <x:c r="H141" t="str">
        <x:v>moi, toi, lui, elle, nous, vous, eux, elles و soi ضمیرهای مستقل/تأکیدی‌اند.</x:v>
      </x:c>
      <x:c r="I141" t="str">
        <x:v>Lesson 29; printed p. 132</x:v>
      </x:c>
      <x:c r="J141" t="str">
        <x:v>stage1-v1.0</x:v>
      </x:c>
    </x:row>
    <x:row r="142">
      <x:c r="A142" t="str">
        <x:v>5465e03e-910b-49cb-8e8b-355d78f2c887</x:v>
      </x:c>
      <x:c r="B142" t="str">
        <x:v>L29-S02</x:v>
      </x:c>
      <x:c r="C142" t="str">
        <x:v>0259af3a-8df3-4f28-ad02-62a99368c409</x:v>
      </x:c>
      <x:c r="D142" t="str">
        <x:v>29</x:v>
      </x:c>
      <x:c r="E142" t="str">
        <x:v>LES PRONOMS TONIQUES</x:v>
      </x:c>
      <x:c r="F142" t="str">
        <x:v>Après préposition</x:v>
      </x:c>
      <x:c r="G142" t="str">
        <x:v>پس از حرف اضافه</x:v>
      </x:c>
      <x:c r="H142" t="str">
        <x:v>پس از بیشتر حروف اضافه برای شخص از pronom tonique استفاده می‌شود.</x:v>
      </x:c>
      <x:c r="I142" t="str">
        <x:v>Lesson 29; printed p. 132</x:v>
      </x:c>
      <x:c r="J142" t="str">
        <x:v>stage1-v1.0</x:v>
      </x:c>
    </x:row>
    <x:row r="143">
      <x:c r="A143" t="str">
        <x:v>45d4d31b-b955-4ae5-b375-b88d7cfedf95</x:v>
      </x:c>
      <x:c r="B143" t="str">
        <x:v>L29-S03</x:v>
      </x:c>
      <x:c r="C143" t="str">
        <x:v>0259af3a-8df3-4f28-ad02-62a99368c409</x:v>
      </x:c>
      <x:c r="D143" t="str">
        <x:v>29</x:v>
      </x:c>
      <x:c r="E143" t="str">
        <x:v>LES PRONOMS TONIQUES</x:v>
      </x:c>
      <x:c r="F143" t="str">
        <x:v>Après « c’est »</x:v>
      </x:c>
      <x:c r="G143" t="str">
        <x:v>پس از c’est</x:v>
      </x:c>
      <x:c r="H143" t="str">
        <x:v>برای شناسایی شخص با c’est ضمیر تونیک می‌آید.</x:v>
      </x:c>
      <x:c r="I143" t="str">
        <x:v>Lesson 29; printed p. 132</x:v>
      </x:c>
      <x:c r="J143" t="str">
        <x:v>stage1-v1.0</x:v>
      </x:c>
    </x:row>
    <x:row r="144">
      <x:c r="A144" t="str">
        <x:v>acba2620-92ec-40b2-a2e7-bdccc5dc76f8</x:v>
      </x:c>
      <x:c r="B144" t="str">
        <x:v>L29-S04</x:v>
      </x:c>
      <x:c r="C144" t="str">
        <x:v>0259af3a-8df3-4f28-ad02-62a99368c409</x:v>
      </x:c>
      <x:c r="D144" t="str">
        <x:v>29</x:v>
      </x:c>
      <x:c r="E144" t="str">
        <x:v>LES PRONOMS TONIQUES</x:v>
      </x:c>
      <x:c r="F144" t="str">
        <x:v>Renforcement et coordination</x:v>
      </x:c>
      <x:c r="G144" t="str">
        <x:v>تأکید و هماهنگی</x:v>
      </x:c>
      <x:c r="H144" t="str">
        <x:v>ضمیر تونیک برای تأکید، تقابل و پس از aussi/non plus/pas/et/ni استفاده می‌شود.</x:v>
      </x:c>
      <x:c r="I144" t="str">
        <x:v>Lesson 29; printed p. 132</x:v>
      </x:c>
      <x:c r="J144" t="str">
        <x:v>stage1-v1.0</x:v>
      </x:c>
    </x:row>
    <x:row r="145">
      <x:c r="A145" t="str">
        <x:v>6651a116-8f31-4777-ae80-853d12ed626c</x:v>
      </x:c>
      <x:c r="B145" t="str">
        <x:v>L30-S01</x:v>
      </x:c>
      <x:c r="C145" t="str">
        <x:v>b24408b6-c9b4-4fbc-9b92-ad4d2ae13876</x:v>
      </x:c>
      <x:c r="D145" t="str">
        <x:v>30</x:v>
      </x:c>
      <x:c r="E145" t="str">
        <x:v>L’IMPÉRATIF</x:v>
      </x:c>
      <x:c r="F145" t="str">
        <x:v>Formation de l’impératif</x:v>
      </x:c>
      <x:c r="G145" t="str">
        <x:v>ساخت impératif</x:v>
      </x:c>
      <x:c r="H145" t="str">
        <x:v>imperatif بدون ضمیر فاعلی و فقط برای tu/nous/vous ساخته می‌شود.</x:v>
      </x:c>
      <x:c r="I145" t="str">
        <x:v>Lesson 30; printed p. 134</x:v>
      </x:c>
      <x:c r="J145" t="str">
        <x:v>stage1-v1.0</x:v>
      </x:c>
    </x:row>
    <x:row r="146">
      <x:c r="A146" t="str">
        <x:v>13708ed1-36f7-4f05-aebd-f0f7bce36c00</x:v>
      </x:c>
      <x:c r="B146" t="str">
        <x:v>L30-S02</x:v>
      </x:c>
      <x:c r="C146" t="str">
        <x:v>b24408b6-c9b4-4fbc-9b92-ad4d2ae13876</x:v>
      </x:c>
      <x:c r="D146" t="str">
        <x:v>30</x:v>
      </x:c>
      <x:c r="E146" t="str">
        <x:v>L’IMPÉRATIF</x:v>
      </x:c>
      <x:c r="F146" t="str">
        <x:v>Impératif des verbes en -er et « aller »</x:v>
      </x:c>
      <x:c r="G146" t="str">
        <x:v>امر -er و aller</x:v>
      </x:c>
      <x:c r="H146" t="str">
        <x:v>در tu افعال -er و aller معمولاً -s حذف می‌شود.</x:v>
      </x:c>
      <x:c r="I146" t="str">
        <x:v>Lesson 30; printed p. 134</x:v>
      </x:c>
      <x:c r="J146" t="str">
        <x:v>stage1-v1.0</x:v>
      </x:c>
    </x:row>
    <x:row r="147">
      <x:c r="A147" t="str">
        <x:v>0a4275e3-5726-48f8-b104-71f8f278da59</x:v>
      </x:c>
      <x:c r="B147" t="str">
        <x:v>L30-S03</x:v>
      </x:c>
      <x:c r="C147" t="str">
        <x:v>b24408b6-c9b4-4fbc-9b92-ad4d2ae13876</x:v>
      </x:c>
      <x:c r="D147" t="str">
        <x:v>30</x:v>
      </x:c>
      <x:c r="E147" t="str">
        <x:v>L’IMPÉRATIF</x:v>
      </x:c>
      <x:c r="F147" t="str">
        <x:v>Impératifs irréguliers</x:v>
      </x:c>
      <x:c r="G147" t="str">
        <x:v>امرهای نامنظم</x:v>
      </x:c>
      <x:c r="H147" t="str">
        <x:v>être, avoir, savoir و vouloir شکل‌های امری نامنظم دارند.</x:v>
      </x:c>
      <x:c r="I147" t="str">
        <x:v>Lesson 30; printed p. 134</x:v>
      </x:c>
      <x:c r="J147" t="str">
        <x:v>stage1-v1.0</x:v>
      </x:c>
    </x:row>
    <x:row r="148">
      <x:c r="A148" t="str">
        <x:v>d91a28e5-86a9-4f5f-b20c-96201c02e8a6</x:v>
      </x:c>
      <x:c r="B148" t="str">
        <x:v>L30-S04</x:v>
      </x:c>
      <x:c r="C148" t="str">
        <x:v>b24408b6-c9b4-4fbc-9b92-ad4d2ae13876</x:v>
      </x:c>
      <x:c r="D148" t="str">
        <x:v>30</x:v>
      </x:c>
      <x:c r="E148" t="str">
        <x:v>L’IMPÉRATIF</x:v>
      </x:c>
      <x:c r="F148" t="str">
        <x:v>Place des pronoms à l’impératif affirmatif</x:v>
      </x:c>
      <x:c r="G148" t="str">
        <x:v>ضمیر در امر مثبت</x:v>
      </x:c>
      <x:c r="H148" t="str">
        <x:v>در امر مثبت ضمیرها پس از فعل و با خط تیره می‌آیند؛ me/te به moi/toi تبدیل می‌شوند.</x:v>
      </x:c>
      <x:c r="I148" t="str">
        <x:v>Lesson 30; printed p. 134</x:v>
      </x:c>
      <x:c r="J148" t="str">
        <x:v>stage1-v1.0</x:v>
      </x:c>
    </x:row>
    <x:row r="149">
      <x:c r="A149" t="str">
        <x:v>3dbeab39-202d-4e70-8111-9ff12e9ae8b4</x:v>
      </x:c>
      <x:c r="B149" t="str">
        <x:v>L30-S05</x:v>
      </x:c>
      <x:c r="C149" t="str">
        <x:v>b24408b6-c9b4-4fbc-9b92-ad4d2ae13876</x:v>
      </x:c>
      <x:c r="D149" t="str">
        <x:v>30</x:v>
      </x:c>
      <x:c r="E149" t="str">
        <x:v>L’IMPÉRATIF</x:v>
      </x:c>
      <x:c r="F149" t="str">
        <x:v>Place des pronoms à l’impératif négatif</x:v>
      </x:c>
      <x:c r="G149" t="str">
        <x:v>ضمیر در امر منفی</x:v>
      </x:c>
      <x:c r="H149" t="str">
        <x:v>در امر منفی ضمیرها مانند جملهٔ معمولی پیش از فعل می‌آیند و me/te تغییر نمی‌کنند.</x:v>
      </x:c>
      <x:c r="I149" t="str">
        <x:v>Lesson 30; printed p. 134</x:v>
      </x:c>
      <x:c r="J149" t="str">
        <x:v>stage1-v1.0</x:v>
      </x:c>
    </x:row>
    <x:row r="150">
      <x:c r="A150" t="str">
        <x:v>0c56bd9f-a9f8-4e8b-9373-c7b8beba4aec</x:v>
      </x:c>
      <x:c r="B150" t="str">
        <x:v>L31-S01</x:v>
      </x:c>
      <x:c r="C150" t="str">
        <x:v>83d883bf-5242-4dc2-bed6-dad1585746db</x:v>
      </x:c>
      <x:c r="D150" t="str">
        <x:v>31</x:v>
      </x:c>
      <x:c r="E150" t="str">
        <x:v>LE CONDITIONNEL (1)</x:v>
      </x:c>
      <x:c r="F150" t="str">
        <x:v>Conditionnel de politesse</x:v>
      </x:c>
      <x:c r="G150" t="str">
        <x:v>conditionnel برای ادب</x:v>
      </x:c>
      <x:c r="H150" t="str">
        <x:v>voudrais/pourrais و ساخت‌های مشابه درخواست را نرم و مؤدبانه می‌کنند.</x:v>
      </x:c>
      <x:c r="I150" t="str">
        <x:v>Lesson 31; printed p. 136</x:v>
      </x:c>
      <x:c r="J150" t="str">
        <x:v>stage1-v1.0</x:v>
      </x:c>
    </x:row>
    <x:row r="151">
      <x:c r="A151" t="str">
        <x:v>77d5210c-1826-45a9-af8b-88b9ea8aa508</x:v>
      </x:c>
      <x:c r="B151" t="str">
        <x:v>L31-S02</x:v>
      </x:c>
      <x:c r="C151" t="str">
        <x:v>83d883bf-5242-4dc2-bed6-dad1585746db</x:v>
      </x:c>
      <x:c r="D151" t="str">
        <x:v>31</x:v>
      </x:c>
      <x:c r="E151" t="str">
        <x:v>LE CONDITIONNEL (1)</x:v>
      </x:c>
      <x:c r="F151" t="str">
        <x:v>Conseil avec « devoir »</x:v>
      </x:c>
      <x:c r="G151" t="str">
        <x:v>توصیه با devoir</x:v>
      </x:c>
      <x:c r="H151" t="str">
        <x:v>tu devrais / vous devriez برای توصیه است.</x:v>
      </x:c>
      <x:c r="I151" t="str">
        <x:v>Lesson 31; printed p. 136</x:v>
      </x:c>
      <x:c r="J151" t="str">
        <x:v>stage1-v1.0</x:v>
      </x:c>
    </x:row>
    <x:row r="152">
      <x:c r="A152" t="str">
        <x:v>d7f3b22f-34fa-4794-8a7c-57b7d1b1cf27</x:v>
      </x:c>
      <x:c r="B152" t="str">
        <x:v>L31-S03</x:v>
      </x:c>
      <x:c r="C152" t="str">
        <x:v>83d883bf-5242-4dc2-bed6-dad1585746db</x:v>
      </x:c>
      <x:c r="D152" t="str">
        <x:v>31</x:v>
      </x:c>
      <x:c r="E152" t="str">
        <x:v>LE CONDITIONNEL (1)</x:v>
      </x:c>
      <x:c r="F152" t="str">
        <x:v>Désir avec « aimer/vouloir »</x:v>
      </x:c>
      <x:c r="G152" t="str">
        <x:v>بیان خواسته</x:v>
      </x:c>
      <x:c r="H152" t="str">
        <x:v>j’aimerais / je voudrais خواسته یا تمایل را با نرمی بیان می‌کنند.</x:v>
      </x:c>
      <x:c r="I152" t="str">
        <x:v>Lesson 31; printed p. 136</x:v>
      </x:c>
      <x:c r="J152" t="str">
        <x:v>stage1-v1.0</x:v>
      </x:c>
    </x:row>
    <x:row r="153">
      <x:c r="A153" t="str">
        <x:v>8e06f31b-c4a1-43dc-880d-10ff106fcf1a</x:v>
      </x:c>
      <x:c r="B153" t="str">
        <x:v>L31-S04</x:v>
      </x:c>
      <x:c r="C153" t="str">
        <x:v>83d883bf-5242-4dc2-bed6-dad1585746db</x:v>
      </x:c>
      <x:c r="D153" t="str">
        <x:v>31</x:v>
      </x:c>
      <x:c r="E153" t="str">
        <x:v>LE CONDITIONNEL (1)</x:v>
      </x:c>
      <x:c r="F153" t="str">
        <x:v>Formes fréquentes du conditionnel présent</x:v>
      </x:c>
      <x:c r="G153" t="str">
        <x:v>شکل‌های رایج conditionnel</x:v>
      </x:c>
      <x:c r="H153" t="str">
        <x:v>voudrais, aimerais, devrais, pourrais, ferais, irais شکل‌های پرکاربرد این درس‌اند.</x:v>
      </x:c>
      <x:c r="I153" t="str">
        <x:v>Lesson 31; printed p. 136</x:v>
      </x:c>
      <x:c r="J153" t="str">
        <x:v>stage1-v1.0</x:v>
      </x:c>
    </x:row>
    <x:row r="154">
      <x:c r="A154" t="str">
        <x:v>9523a5bd-c68b-4d30-824d-d85ddb5490a8</x:v>
      </x:c>
      <x:c r="B154" t="str">
        <x:v>L32-S01</x:v>
      </x:c>
      <x:c r="C154" t="str">
        <x:v>4ec05ffb-8465-4c5c-9a50-d67136ad0472</x:v>
      </x:c>
      <x:c r="D154" t="str">
        <x:v>32</x:v>
      </x:c>
      <x:c r="E154" t="str">
        <x:v>LES RELATIFS</x:v>
      </x:c>
      <x:c r="F154" t="str">
        <x:v>Relatif « qui »</x:v>
      </x:c>
      <x:c r="G154" t="str">
        <x:v>ضمیر نسبی qui</x:v>
      </x:c>
      <x:c r="H154" t="str">
        <x:v>qui جای فاعل جملهٔ وابسته را می‌گیرد.</x:v>
      </x:c>
      <x:c r="I154" t="str">
        <x:v>Lesson 32; printed p. 140</x:v>
      </x:c>
      <x:c r="J154" t="str">
        <x:v>stage1-v1.0</x:v>
      </x:c>
    </x:row>
    <x:row r="155">
      <x:c r="A155" t="str">
        <x:v>a605b061-2ae5-447e-accb-ae78434440a3</x:v>
      </x:c>
      <x:c r="B155" t="str">
        <x:v>L32-S02</x:v>
      </x:c>
      <x:c r="C155" t="str">
        <x:v>4ec05ffb-8465-4c5c-9a50-d67136ad0472</x:v>
      </x:c>
      <x:c r="D155" t="str">
        <x:v>32</x:v>
      </x:c>
      <x:c r="E155" t="str">
        <x:v>LES RELATIFS</x:v>
      </x:c>
      <x:c r="F155" t="str">
        <x:v>Relatif « que »</x:v>
      </x:c>
      <x:c r="G155" t="str">
        <x:v>ضمیر نسبی que</x:v>
      </x:c>
      <x:c r="H155" t="str">
        <x:v>que جای مفعول مستقیم را می‌گیرد.</x:v>
      </x:c>
      <x:c r="I155" t="str">
        <x:v>Lesson 32; printed p. 140</x:v>
      </x:c>
      <x:c r="J155" t="str">
        <x:v>stage1-v1.0</x:v>
      </x:c>
    </x:row>
    <x:row r="156">
      <x:c r="A156" t="str">
        <x:v>33028691-996b-4785-b413-c651496405a8</x:v>
      </x:c>
      <x:c r="B156" t="str">
        <x:v>L32-S03</x:v>
      </x:c>
      <x:c r="C156" t="str">
        <x:v>4ec05ffb-8465-4c5c-9a50-d67136ad0472</x:v>
      </x:c>
      <x:c r="D156" t="str">
        <x:v>32</x:v>
      </x:c>
      <x:c r="E156" t="str">
        <x:v>LES RELATIFS</x:v>
      </x:c>
      <x:c r="F156" t="str">
        <x:v>Relatif « où »</x:v>
      </x:c>
      <x:c r="G156" t="str">
        <x:v>ضمیر نسبی où</x:v>
      </x:c>
      <x:c r="H156" t="str">
        <x:v>où مکمل مکان یا زمان را جایگزین می‌کند.</x:v>
      </x:c>
      <x:c r="I156" t="str">
        <x:v>Lesson 32; printed p. 140</x:v>
      </x:c>
      <x:c r="J156" t="str">
        <x:v>stage1-v1.0</x:v>
      </x:c>
    </x:row>
    <x:row r="157">
      <x:c r="A157" t="str">
        <x:v>cc58425c-1b50-4810-99a1-446683b31f5f</x:v>
      </x:c>
      <x:c r="B157" t="str">
        <x:v>L32-S04</x:v>
      </x:c>
      <x:c r="C157" t="str">
        <x:v>4ec05ffb-8465-4c5c-9a50-d67136ad0472</x:v>
      </x:c>
      <x:c r="D157" t="str">
        <x:v>32</x:v>
      </x:c>
      <x:c r="E157" t="str">
        <x:v>LES RELATIFS</x:v>
      </x:c>
      <x:c r="F157" t="str">
        <x:v>Relatif « dont »</x:v>
      </x:c>
      <x:c r="G157" t="str">
        <x:v>ضمیر نسبی dont</x:v>
      </x:c>
      <x:c r="H157" t="str">
        <x:v>dont مکمل ساخته‌شده با de را جایگزین می‌کند.</x:v>
      </x:c>
      <x:c r="I157" t="str">
        <x:v>Lesson 32; printed p. 142</x:v>
      </x:c>
      <x:c r="J157" t="str">
        <x:v>stage1-v1.0</x:v>
      </x:c>
    </x:row>
    <x:row r="158">
      <x:c r="A158" t="str">
        <x:v>f4081368-9e3a-4590-8cf1-ec24453a7651</x:v>
      </x:c>
      <x:c r="B158" t="str">
        <x:v>L32-S05</x:v>
      </x:c>
      <x:c r="C158" t="str">
        <x:v>4ec05ffb-8465-4c5c-9a50-d67136ad0472</x:v>
      </x:c>
      <x:c r="D158" t="str">
        <x:v>32</x:v>
      </x:c>
      <x:c r="E158" t="str">
        <x:v>LES RELATIFS</x:v>
      </x:c>
      <x:c r="F158" t="str">
        <x:v>« ce qui / ce que / ce dont »</x:v>
      </x:c>
      <x:c r="G158" t="str">
        <x:v>ce qui/ce que/ce dont</x:v>
      </x:c>
      <x:c r="H158" t="str">
        <x:v>وقتی antecedent صریح وجود ندارد و منظور «آنچه» است، ce + relatif می‌آید.</x:v>
      </x:c>
      <x:c r="I158" t="str">
        <x:v>Lesson 32; printed p. 142</x:v>
      </x:c>
      <x:c r="J158" t="str">
        <x:v>stage1-v1.0</x:v>
      </x:c>
    </x:row>
    <x:row r="159">
      <x:c r="A159" t="str">
        <x:v>e5b88a0b-af1a-4d37-98be-b26a740202e6</x:v>
      </x:c>
      <x:c r="B159" t="str">
        <x:v>L32-S06</x:v>
      </x:c>
      <x:c r="C159" t="str">
        <x:v>4ec05ffb-8465-4c5c-9a50-d67136ad0472</x:v>
      </x:c>
      <x:c r="D159" t="str">
        <x:v>32</x:v>
      </x:c>
      <x:c r="E159" t="str">
        <x:v>LES RELATIFS</x:v>
      </x:c>
      <x:c r="F159" t="str">
        <x:v>Mise en relief « c’est…qui/que »</x:v>
      </x:c>
      <x:c r="G159" t="str">
        <x:v>برجسته‌سازی c’est…qui/que</x:v>
      </x:c>
      <x:c r="H159" t="str">
        <x:v>این ساخت یک جزء جمله را برجسته می‌کند.</x:v>
      </x:c>
      <x:c r="I159" t="str">
        <x:v>Lesson 32; printed p. 142</x:v>
      </x:c>
      <x:c r="J159" t="str">
        <x:v>stage1-v1.0</x:v>
      </x:c>
    </x:row>
    <x:row r="160">
      <x:c r="A160" t="str">
        <x:v>7eb2441f-f3fd-4c09-bf72-9fae5057a06b</x:v>
      </x:c>
      <x:c r="B160" t="str">
        <x:v>L32-S07</x:v>
      </x:c>
      <x:c r="C160" t="str">
        <x:v>4ec05ffb-8465-4c5c-9a50-d67136ad0472</x:v>
      </x:c>
      <x:c r="D160" t="str">
        <x:v>32</x:v>
      </x:c>
      <x:c r="E160" t="str">
        <x:v>LES RELATIFS</x:v>
      </x:c>
      <x:c r="F160" t="str">
        <x:v>Relatifs composés « lequel… »</x:v>
      </x:c>
      <x:c r="G160" t="str">
        <x:v>ضمیر نسبی مرکب</x:v>
      </x:c>
      <x:c r="H160" t="str">
        <x:v>lequel/laquelle/lesquels/lesquelles معمولاً پس از حرف اضافه می‌آیند و با antecedent توافق دارند.</x:v>
      </x:c>
      <x:c r="I160" t="str">
        <x:v>Lesson 32; printed p. 144</x:v>
      </x:c>
      <x:c r="J160" t="str">
        <x:v>stage1-v1.0</x:v>
      </x:c>
    </x:row>
    <x:row r="161">
      <x:c r="A161" t="str">
        <x:v>6861d0bb-b146-49b7-97f8-a6b94707053f</x:v>
      </x:c>
      <x:c r="B161" t="str">
        <x:v>L32-S08</x:v>
      </x:c>
      <x:c r="C161" t="str">
        <x:v>4ec05ffb-8465-4c5c-9a50-d67136ad0472</x:v>
      </x:c>
      <x:c r="D161" t="str">
        <x:v>32</x:v>
      </x:c>
      <x:c r="E161" t="str">
        <x:v>LES RELATIFS</x:v>
      </x:c>
      <x:c r="F161" t="str">
        <x:v>Relatif après préposition et personne</x:v>
      </x:c>
      <x:c r="G161" t="str">
        <x:v>نسبی برای شخص پس از حرف اضافه</x:v>
      </x:c>
      <x:c r="H161" t="str">
        <x:v>برای شخص پس از حرف اضافهٔ ساده، qui اغلب طبیعی‌تر از lequel است.</x:v>
      </x:c>
      <x:c r="I161" t="str">
        <x:v>Lesson 32; printed p. 144</x:v>
      </x:c>
      <x:c r="J161" t="str">
        <x:v>stage1-v1.0</x:v>
      </x:c>
    </x:row>
    <x:row r="162">
      <x:c r="A162" t="str">
        <x:v>aee0a450-b0b0-4ced-8544-f51a21cb8258</x:v>
      </x:c>
      <x:c r="B162" t="str">
        <x:v>L33-S01</x:v>
      </x:c>
      <x:c r="C162" t="str">
        <x:v>1854197b-634e-4db7-893c-7e9b6bcbf004</x:v>
      </x:c>
      <x:c r="D162" t="str">
        <x:v>33</x:v>
      </x:c>
      <x:c r="E162" t="str">
        <x:v>L’INTERROGATION (2)</x:v>
      </x:c>
      <x:c r="F162" t="str">
        <x:v>Questions avec adverbes interrogatifs</x:v>
      </x:c>
      <x:c r="G162" t="str">
        <x:v>پرسش با où/quand/comment/combien/pourquoi</x:v>
      </x:c>
      <x:c r="H162" t="str">
        <x:v>واژهٔ پرسشی می‌تواند در آغاز با وارونگی، با est-ce que، یا در گفتار در پایان بیاید.</x:v>
      </x:c>
      <x:c r="I162" t="str">
        <x:v>Lesson 33; printed p. 148</x:v>
      </x:c>
      <x:c r="J162" t="str">
        <x:v>stage1-v1.0</x:v>
      </x:c>
    </x:row>
    <x:row r="163">
      <x:c r="A163" t="str">
        <x:v>ae3ce10c-25f8-49f9-8bf8-8be3b5a5b14c</x:v>
      </x:c>
      <x:c r="B163" t="str">
        <x:v>L33-S02</x:v>
      </x:c>
      <x:c r="C163" t="str">
        <x:v>1854197b-634e-4db7-893c-7e9b6bcbf004</x:v>
      </x:c>
      <x:c r="D163" t="str">
        <x:v>33</x:v>
      </x:c>
      <x:c r="E163" t="str">
        <x:v>L’INTERROGATION (2)</x:v>
      </x:c>
      <x:c r="F163" t="str">
        <x:v>Inversion avec nom sujet</x:v>
      </x:c>
      <x:c r="G163" t="str">
        <x:v>وارونگی با فاعل اسمی</x:v>
      </x:c>
      <x:c r="H163" t="str">
        <x:v>با فاعل اسمی در وارونگی رسمی، ضمیر یادآور پس از فعل می‌آید.</x:v>
      </x:c>
      <x:c r="I163" t="str">
        <x:v>Lesson 33; printed p. 148</x:v>
      </x:c>
      <x:c r="J163" t="str">
        <x:v>stage1-v1.0</x:v>
      </x:c>
    </x:row>
    <x:row r="164">
      <x:c r="A164" t="str">
        <x:v>9cb33c27-8605-4ba1-b836-69f02ac59ec9</x:v>
      </x:c>
      <x:c r="B164" t="str">
        <x:v>L33-S03</x:v>
      </x:c>
      <x:c r="C164" t="str">
        <x:v>1854197b-634e-4db7-893c-7e9b6bcbf004</x:v>
      </x:c>
      <x:c r="D164" t="str">
        <x:v>33</x:v>
      </x:c>
      <x:c r="E164" t="str">
        <x:v>L’INTERROGATION (2)</x:v>
      </x:c>
      <x:c r="F164" t="str">
        <x:v>« qui/que/quoi » interrogatifs</x:v>
      </x:c>
      <x:c r="G164" t="str">
        <x:v>qui/que/quoi پرسشی</x:v>
      </x:c>
      <x:c r="H164" t="str">
        <x:v>qui برای شخص و que/quoi برای چیز است؛ شکل‌های ویژه نقش فاعل/مفعول را روشن می‌کنند.</x:v>
      </x:c>
      <x:c r="I164" t="str">
        <x:v>Lesson 33; printed p. 148</x:v>
      </x:c>
      <x:c r="J164" t="str">
        <x:v>stage1-v1.0</x:v>
      </x:c>
    </x:row>
    <x:row r="165">
      <x:c r="A165" t="str">
        <x:v>29335651-9c2f-4f09-921f-b0f99d6ca577</x:v>
      </x:c>
      <x:c r="B165" t="str">
        <x:v>L33-S04</x:v>
      </x:c>
      <x:c r="C165" t="str">
        <x:v>1854197b-634e-4db7-893c-7e9b6bcbf004</x:v>
      </x:c>
      <x:c r="D165" t="str">
        <x:v>33</x:v>
      </x:c>
      <x:c r="E165" t="str">
        <x:v>L’INTERROGATION (2)</x:v>
      </x:c>
      <x:c r="F165" t="str">
        <x:v>« quel » interrogatif</x:v>
      </x:c>
      <x:c r="G165" t="str">
        <x:v>quel پرسشی</x:v>
      </x:c>
      <x:c r="H165" t="str">
        <x:v>quel/quelle/quels/quelles صفت پرسشی است و با اسم توافق می‌کند.</x:v>
      </x:c>
      <x:c r="I165" t="str">
        <x:v>Lesson 33; printed p. 150</x:v>
      </x:c>
      <x:c r="J165" t="str">
        <x:v>stage1-v1.0</x:v>
      </x:c>
    </x:row>
    <x:row r="166">
      <x:c r="A166" t="str">
        <x:v>19a04e08-c4b3-43a6-9660-9e72e1235ae8</x:v>
      </x:c>
      <x:c r="B166" t="str">
        <x:v>L33-S05</x:v>
      </x:c>
      <x:c r="C166" t="str">
        <x:v>1854197b-634e-4db7-893c-7e9b6bcbf004</x:v>
      </x:c>
      <x:c r="D166" t="str">
        <x:v>33</x:v>
      </x:c>
      <x:c r="E166" t="str">
        <x:v>L’INTERROGATION (2)</x:v>
      </x:c>
      <x:c r="F166" t="str">
        <x:v>« lequel » interrogatif</x:v>
      </x:c>
      <x:c r="G166" t="str">
        <x:v>lequel برای انتخاب</x:v>
      </x:c>
      <x:c r="H166" t="str">
        <x:v>lequel و شکل‌های توافقی برای انتخاب از مجموعهٔ معلوم به‌کار می‌روند.</x:v>
      </x:c>
      <x:c r="I166" t="str">
        <x:v>Lesson 33; printed p. 150</x:v>
      </x:c>
      <x:c r="J166" t="str">
        <x:v>stage1-v1.0</x:v>
      </x:c>
    </x:row>
    <x:row r="167">
      <x:c r="A167" t="str">
        <x:v>78f65276-a784-4af3-9b3d-18e522c01690</x:v>
      </x:c>
      <x:c r="B167" t="str">
        <x:v>L33-S06</x:v>
      </x:c>
      <x:c r="C167" t="str">
        <x:v>1854197b-634e-4db7-893c-7e9b6bcbf004</x:v>
      </x:c>
      <x:c r="D167" t="str">
        <x:v>33</x:v>
      </x:c>
      <x:c r="E167" t="str">
        <x:v>L’INTERROGATION (2)</x:v>
      </x:c>
      <x:c r="F167" t="str">
        <x:v>Exclamation</x:v>
      </x:c>
      <x:c r="G167" t="str">
        <x:v>تعجب</x:v>
      </x:c>
      <x:c r="H167" t="str">
        <x:v>تعجب با جملهٔ خبری، quel…! یا ساخت‌های qu’est-ce que/que/comment ساخته می‌شود.</x:v>
      </x:c>
      <x:c r="I167" t="str">
        <x:v>Lesson 33; printed p. 150</x:v>
      </x:c>
      <x:c r="J167" t="str">
        <x:v>stage1-v1.0</x:v>
      </x:c>
    </x:row>
    <x:row r="168">
      <x:c r="A168" t="str">
        <x:v>e455a32e-fe99-4d67-96bf-1f5c5308cb4e</x:v>
      </x:c>
      <x:c r="B168" t="str">
        <x:v>L34-S01</x:v>
      </x:c>
      <x:c r="C168" t="str">
        <x:v>7a8563ae-ac42-49d2-bddd-42140c4e5245</x:v>
      </x:c>
      <x:c r="D168" t="str">
        <x:v>34</x:v>
      </x:c>
      <x:c r="E168" t="str">
        <x:v>LA NÉGATION (2)</x:v>
      </x:c>
      <x:c r="F168" t="str">
        <x:v>« ne…jamais »</x:v>
      </x:c>
      <x:c r="G168" t="str">
        <x:v>ne…jamais</x:v>
      </x:c>
      <x:c r="H168" t="str">
        <x:v>ne…jamais معنای «هرگز» می‌دهد و جای pas را می‌گیرد.</x:v>
      </x:c>
      <x:c r="I168" t="str">
        <x:v>Lesson 34; printed p. 152</x:v>
      </x:c>
      <x:c r="J168" t="str">
        <x:v>stage1-v1.0</x:v>
      </x:c>
    </x:row>
    <x:row r="169">
      <x:c r="A169" t="str">
        <x:v>fd81d40b-3969-4ca2-a548-0803e59f5e31</x:v>
      </x:c>
      <x:c r="B169" t="str">
        <x:v>L34-S02</x:v>
      </x:c>
      <x:c r="C169" t="str">
        <x:v>7a8563ae-ac42-49d2-bddd-42140c4e5245</x:v>
      </x:c>
      <x:c r="D169" t="str">
        <x:v>34</x:v>
      </x:c>
      <x:c r="E169" t="str">
        <x:v>LA NÉGATION (2)</x:v>
      </x:c>
      <x:c r="F169" t="str">
        <x:v>« ne…plus »</x:v>
      </x:c>
      <x:c r="G169" t="str">
        <x:v>ne…plus</x:v>
      </x:c>
      <x:c r="H169" t="str">
        <x:v>ne…plus پایان یک وضعیت/عمل سابق را بیان می‌کند.</x:v>
      </x:c>
      <x:c r="I169" t="str">
        <x:v>Lesson 34; printed p. 152</x:v>
      </x:c>
      <x:c r="J169" t="str">
        <x:v>stage1-v1.0</x:v>
      </x:c>
    </x:row>
    <x:row r="170">
      <x:c r="A170" t="str">
        <x:v>0ac93544-d992-4937-82d8-4dc32b27291e</x:v>
      </x:c>
      <x:c r="B170" t="str">
        <x:v>L34-S03</x:v>
      </x:c>
      <x:c r="C170" t="str">
        <x:v>7a8563ae-ac42-49d2-bddd-42140c4e5245</x:v>
      </x:c>
      <x:c r="D170" t="str">
        <x:v>34</x:v>
      </x:c>
      <x:c r="E170" t="str">
        <x:v>LA NÉGATION (2)</x:v>
      </x:c>
      <x:c r="F170" t="str">
        <x:v>« ne…pas encore » vs « ne…plus »</x:v>
      </x:c>
      <x:c r="G170" t="str">
        <x:v>pas encore در برابر plus</x:v>
      </x:c>
      <x:c r="H170" t="str">
        <x:v>pas encore یعنی هنوز رخ نداده اما ممکن است؛ plus یعنی دیگر ادامه ندارد.</x:v>
      </x:c>
      <x:c r="I170" t="str">
        <x:v>Lesson 34; printed p. 152</x:v>
      </x:c>
      <x:c r="J170" t="str">
        <x:v>stage1-v1.0</x:v>
      </x:c>
    </x:row>
    <x:row r="171">
      <x:c r="A171" t="str">
        <x:v>fb8af66c-d6c0-4699-a84b-053a773ca1d7</x:v>
      </x:c>
      <x:c r="B171" t="str">
        <x:v>L34-S04</x:v>
      </x:c>
      <x:c r="C171" t="str">
        <x:v>7a8563ae-ac42-49d2-bddd-42140c4e5245</x:v>
      </x:c>
      <x:c r="D171" t="str">
        <x:v>34</x:v>
      </x:c>
      <x:c r="E171" t="str">
        <x:v>LA NÉGATION (2)</x:v>
      </x:c>
      <x:c r="F171" t="str">
        <x:v>« ne…aucun / rien / personne »</x:v>
      </x:c>
      <x:c r="G171" t="str">
        <x:v>نفی با aucun/rien/personne</x:v>
      </x:c>
      <x:c r="H171" t="str">
        <x:v>این عناصر جای pas را می‌گیرند و نقش نحوی متفاوت دارند.</x:v>
      </x:c>
      <x:c r="I171" t="str">
        <x:v>Lesson 34; printed p. 152</x:v>
      </x:c>
      <x:c r="J171" t="str">
        <x:v>stage1-v1.0</x:v>
      </x:c>
    </x:row>
    <x:row r="172">
      <x:c r="A172" t="str">
        <x:v>a6e52838-3c03-4128-95fa-b6a1dbfb0711</x:v>
      </x:c>
      <x:c r="B172" t="str">
        <x:v>L34-S05</x:v>
      </x:c>
      <x:c r="C172" t="str">
        <x:v>7a8563ae-ac42-49d2-bddd-42140c4e5245</x:v>
      </x:c>
      <x:c r="D172" t="str">
        <x:v>34</x:v>
      </x:c>
      <x:c r="E172" t="str">
        <x:v>LA NÉGATION (2)</x:v>
      </x:c>
      <x:c r="F172" t="str">
        <x:v>Cumul de négations</x:v>
      </x:c>
      <x:c r="G172" t="str">
        <x:v>ترکیب نفی‌ها</x:v>
      </x:c>
      <x:c r="H172" t="str">
        <x:v>چند عنصر منفی می‌توانند برای معنای ترکیبی در یک جمله بیایند.</x:v>
      </x:c>
      <x:c r="I172" t="str">
        <x:v>Lesson 34; printed p. 152</x:v>
      </x:c>
      <x:c r="J172" t="str">
        <x:v>stage1-v1.0</x:v>
      </x:c>
    </x:row>
    <x:row r="173">
      <x:c r="A173" t="str">
        <x:v>62d36973-25a1-49ea-97cb-644189231f79</x:v>
      </x:c>
      <x:c r="B173" t="str">
        <x:v>L34-S06</x:v>
      </x:c>
      <x:c r="C173" t="str">
        <x:v>7a8563ae-ac42-49d2-bddd-42140c4e5245</x:v>
      </x:c>
      <x:c r="D173" t="str">
        <x:v>34</x:v>
      </x:c>
      <x:c r="E173" t="str">
        <x:v>LA NÉGATION (2)</x:v>
      </x:c>
      <x:c r="F173" t="str">
        <x:v>« ni…ni »</x:v>
      </x:c>
      <x:c r="G173" t="str">
        <x:v>ni…ni</x:v>
      </x:c>
      <x:c r="H173" t="str">
        <x:v>ni…ni دو یا چند عنصر هم‌پایه را نفی می‌کند.</x:v>
      </x:c>
      <x:c r="I173" t="str">
        <x:v>Lesson 34; printed p. 154</x:v>
      </x:c>
      <x:c r="J173" t="str">
        <x:v>stage1-v1.0</x:v>
      </x:c>
    </x:row>
    <x:row r="174">
      <x:c r="A174" t="str">
        <x:v>939e0099-83c7-456b-ab87-23ce6d5111a5</x:v>
      </x:c>
      <x:c r="B174" t="str">
        <x:v>L34-S07</x:v>
      </x:c>
      <x:c r="C174" t="str">
        <x:v>7a8563ae-ac42-49d2-bddd-42140c4e5245</x:v>
      </x:c>
      <x:c r="D174" t="str">
        <x:v>34</x:v>
      </x:c>
      <x:c r="E174" t="str">
        <x:v>LA NÉGATION (2)</x:v>
      </x:c>
      <x:c r="F174" t="str">
        <x:v>« sans » négatif</x:v>
      </x:c>
      <x:c r="G174" t="str">
        <x:v>sans منفی</x:v>
      </x:c>
      <x:c r="H174" t="str">
        <x:v>sans نبودن همراهی/وجود را بیان می‌کند.</x:v>
      </x:c>
      <x:c r="I174" t="str">
        <x:v>Lesson 34; printed p. 154</x:v>
      </x:c>
      <x:c r="J174" t="str">
        <x:v>stage1-v1.0</x:v>
      </x:c>
    </x:row>
    <x:row r="175">
      <x:c r="A175" t="str">
        <x:v>36587b21-434a-4445-bb18-371ac2e74015</x:v>
      </x:c>
      <x:c r="B175" t="str">
        <x:v>L34-S08</x:v>
      </x:c>
      <x:c r="C175" t="str">
        <x:v>7a8563ae-ac42-49d2-bddd-42140c4e5245</x:v>
      </x:c>
      <x:c r="D175" t="str">
        <x:v>34</x:v>
      </x:c>
      <x:c r="E175" t="str">
        <x:v>LA NÉGATION (2)</x:v>
      </x:c>
      <x:c r="F175" t="str">
        <x:v>« ne…que » restriction</x:v>
      </x:c>
      <x:c r="G175" t="str">
        <x:v>ne…que محدودکننده</x:v>
      </x:c>
      <x:c r="H175" t="str">
        <x:v>ne…que نفی واقعی نیست و معنی «فقط» می‌دهد.</x:v>
      </x:c>
      <x:c r="I175" t="str">
        <x:v>Lesson 34; printed p. 154</x:v>
      </x:c>
      <x:c r="J175" t="str">
        <x:v>stage1-v1.0</x:v>
      </x:c>
    </x:row>
    <x:row r="176">
      <x:c r="A176" t="str">
        <x:v>9a25432c-0e8e-4e19-9fc6-df3263efd17c</x:v>
      </x:c>
      <x:c r="B176" t="str">
        <x:v>L35-S01</x:v>
      </x:c>
      <x:c r="C176" t="str">
        <x:v>83287154-f6ce-4595-a2b2-17537cb9908d</x:v>
      </x:c>
      <x:c r="D176" t="str">
        <x:v>35</x:v>
      </x:c>
      <x:c r="E176" t="str">
        <x:v>LE DISCOURS INDIRECT au PRÉSENT</x:v>
      </x:c>
      <x:c r="F176" t="str">
        <x:v>Discours indirect: affirmation</x:v>
      </x:c>
      <x:c r="G176" t="str">
        <x:v>نقل غیرمستقیم گزاره</x:v>
      </x:c>
      <x:c r="H176" t="str">
        <x:v>برای گزارش گزاره در زمان حال، que جملهٔ وابسته را معرفی می‌کند.</x:v>
      </x:c>
      <x:c r="I176" t="str">
        <x:v>Lesson 35; printed p. 156</x:v>
      </x:c>
      <x:c r="J176" t="str">
        <x:v>stage1-v1.0</x:v>
      </x:c>
    </x:row>
    <x:row r="177">
      <x:c r="A177" t="str">
        <x:v>57e3f3eb-4af9-44c5-b5d7-8bb770e66fb1</x:v>
      </x:c>
      <x:c r="B177" t="str">
        <x:v>L35-S02</x:v>
      </x:c>
      <x:c r="C177" t="str">
        <x:v>83287154-f6ce-4595-a2b2-17537cb9908d</x:v>
      </x:c>
      <x:c r="D177" t="str">
        <x:v>35</x:v>
      </x:c>
      <x:c r="E177" t="str">
        <x:v>LE DISCOURS INDIRECT au PRÉSENT</x:v>
      </x:c>
      <x:c r="F177" t="str">
        <x:v>Discours indirect: question oui/non</x:v>
      </x:c>
      <x:c r="G177" t="str">
        <x:v>نقل پرسش بله/خیر</x:v>
      </x:c>
      <x:c r="H177" t="str">
        <x:v>پرسش بله/خیر در نقل غیرمستقیم با si معرفی می‌شود.</x:v>
      </x:c>
      <x:c r="I177" t="str">
        <x:v>Lesson 35; printed p. 156</x:v>
      </x:c>
      <x:c r="J177" t="str">
        <x:v>stage1-v1.0</x:v>
      </x:c>
    </x:row>
    <x:row r="178">
      <x:c r="A178" t="str">
        <x:v>192ac84b-73ae-41ae-90cd-815c56366500</x:v>
      </x:c>
      <x:c r="B178" t="str">
        <x:v>L35-S03</x:v>
      </x:c>
      <x:c r="C178" t="str">
        <x:v>83287154-f6ce-4595-a2b2-17537cb9908d</x:v>
      </x:c>
      <x:c r="D178" t="str">
        <x:v>35</x:v>
      </x:c>
      <x:c r="E178" t="str">
        <x:v>LE DISCOURS INDIRECT au PRÉSENT</x:v>
      </x:c>
      <x:c r="F178" t="str">
        <x:v>Discours indirect: question partielle</x:v>
      </x:c>
      <x:c r="G178" t="str">
        <x:v>نقل پرسش جزئی</x:v>
      </x:c>
      <x:c r="H178" t="str">
        <x:v>واژهٔ پرسشی حفظ می‌شود ولی وارونگی حذف می‌شود.</x:v>
      </x:c>
      <x:c r="I178" t="str">
        <x:v>Lesson 35; printed p. 156</x:v>
      </x:c>
      <x:c r="J178" t="str">
        <x:v>stage1-v1.0</x:v>
      </x:c>
    </x:row>
    <x:row r="179">
      <x:c r="A179" t="str">
        <x:v>86649bbc-11b1-4d00-a293-691c50485bc3</x:v>
      </x:c>
      <x:c r="B179" t="str">
        <x:v>L35-S04</x:v>
      </x:c>
      <x:c r="C179" t="str">
        <x:v>83287154-f6ce-4595-a2b2-17537cb9908d</x:v>
      </x:c>
      <x:c r="D179" t="str">
        <x:v>35</x:v>
      </x:c>
      <x:c r="E179" t="str">
        <x:v>LE DISCOURS INDIRECT au PRÉSENT</x:v>
      </x:c>
      <x:c r="F179" t="str">
        <x:v>Discours indirect: impératif</x:v>
      </x:c>
      <x:c r="G179" t="str">
        <x:v>نقل دستور</x:v>
      </x:c>
      <x:c r="H179" t="str">
        <x:v>امر مستقیم با de + infinitif گزارش می‌شود.</x:v>
      </x:c>
      <x:c r="I179" t="str">
        <x:v>Lesson 35; printed p. 156</x:v>
      </x:c>
      <x:c r="J179" t="str">
        <x:v>stage1-v1.0</x:v>
      </x:c>
    </x:row>
    <x:row r="180">
      <x:c r="A180" t="str">
        <x:v>1ee32242-59ff-4640-a586-e5d7f205bf1f</x:v>
      </x:c>
      <x:c r="B180" t="str">
        <x:v>L35-S05</x:v>
      </x:c>
      <x:c r="C180" t="str">
        <x:v>83287154-f6ce-4595-a2b2-17537cb9908d</x:v>
      </x:c>
      <x:c r="D180" t="str">
        <x:v>35</x:v>
      </x:c>
      <x:c r="E180" t="str">
        <x:v>LE DISCOURS INDIRECT au PRÉSENT</x:v>
      </x:c>
      <x:c r="F180" t="str">
        <x:v>Verbes introducteurs</x:v>
      </x:c>
      <x:c r="G180" t="str">
        <x:v>افعال گزارش‌دهنده</x:v>
      </x:c>
      <x:c r="H180" t="str">
        <x:v>dire, demander, répondre, affirmer, déclarer و مشابه‌ها نوع گزارش را مشخص می‌کنند.</x:v>
      </x:c>
      <x:c r="I180" t="str">
        <x:v>Lesson 35; printed p. 156</x:v>
      </x:c>
      <x:c r="J180" t="str">
        <x:v>stage1-v1.0</x:v>
      </x:c>
    </x:row>
    <x:row r="181">
      <x:c r="A181" t="str">
        <x:v>0101b1a8-f101-4115-815c-7bdfbe9d4724</x:v>
      </x:c>
      <x:c r="B181" t="str">
        <x:v>L36-S01</x:v>
      </x:c>
      <x:c r="C181" t="str">
        <x:v>03b37cc5-75e7-4209-9322-1f6401df4973</x:v>
      </x:c>
      <x:c r="D181" t="str">
        <x:v>36</x:v>
      </x:c>
      <x:c r="E181" t="str">
        <x:v>LE GÉRONDIF</x:v>
      </x:c>
      <x:c r="F181" t="str">
        <x:v>Formation du gérondif</x:v>
      </x:c>
      <x:c r="G181" t="str">
        <x:v>ساخت gérondif</x:v>
      </x:c>
      <x:c r="H181" t="str">
        <x:v>gérondif = en + participe présent؛ participe présent معمولاً از ریشهٔ nous présent + -ant ساخته می‌شود.</x:v>
      </x:c>
      <x:c r="I181" t="str">
        <x:v>Lesson 36; printed p. 158</x:v>
      </x:c>
      <x:c r="J181" t="str">
        <x:v>stage1-v1.0</x:v>
      </x:c>
    </x:row>
    <x:row r="182">
      <x:c r="A182" t="str">
        <x:v>2beef77a-52c1-4a4b-bf74-c4ca4c0e9e7c</x:v>
      </x:c>
      <x:c r="B182" t="str">
        <x:v>L36-S02</x:v>
      </x:c>
      <x:c r="C182" t="str">
        <x:v>03b37cc5-75e7-4209-9322-1f6401df4973</x:v>
      </x:c>
      <x:c r="D182" t="str">
        <x:v>36</x:v>
      </x:c>
      <x:c r="E182" t="str">
        <x:v>LE GÉRONDIF</x:v>
      </x:c>
      <x:c r="F182" t="str">
        <x:v>Simultanéité et même sujet</x:v>
      </x:c>
      <x:c r="G182" t="str">
        <x:v>هم‌زمانی و فاعل مشترک</x:v>
      </x:c>
      <x:c r="H182" t="str">
        <x:v>gérondif معمولاً عمل هم‌زمان با فعل اصلی را بیان می‌کند و فاعل دو عمل یکی است.</x:v>
      </x:c>
      <x:c r="I182" t="str">
        <x:v>Lesson 36; printed p. 158</x:v>
      </x:c>
      <x:c r="J182" t="str">
        <x:v>stage1-v1.0</x:v>
      </x:c>
    </x:row>
    <x:row r="183">
      <x:c r="A183" t="str">
        <x:v>0872e52e-4616-40ca-be70-3ea1a66b9ffc</x:v>
      </x:c>
      <x:c r="B183" t="str">
        <x:v>L36-S03</x:v>
      </x:c>
      <x:c r="C183" t="str">
        <x:v>03b37cc5-75e7-4209-9322-1f6401df4973</x:v>
      </x:c>
      <x:c r="D183" t="str">
        <x:v>36</x:v>
      </x:c>
      <x:c r="E183" t="str">
        <x:v>LE GÉRONDIF</x:v>
      </x:c>
      <x:c r="F183" t="str">
        <x:v>Cause, manière, condition</x:v>
      </x:c>
      <x:c r="G183" t="str">
        <x:v>علت/شیوه/شرط</x:v>
      </x:c>
      <x:c r="H183" t="str">
        <x:v>gérondif بسته به context می‌تواند علت، شرایط یا شیوهٔ انجام عمل را بیان کند.</x:v>
      </x:c>
      <x:c r="I183" t="str">
        <x:v>Lesson 36; printed p. 158</x:v>
      </x:c>
      <x:c r="J183" t="str">
        <x:v>stage1-v1.0</x:v>
      </x:c>
    </x:row>
    <x:row r="184">
      <x:c r="A184" t="str">
        <x:v>f653a449-7284-4257-ac7f-04db5b5502c2</x:v>
      </x:c>
      <x:c r="B184" t="str">
        <x:v>L36-S04</x:v>
      </x:c>
      <x:c r="C184" t="str">
        <x:v>03b37cc5-75e7-4209-9322-1f6401df4973</x:v>
      </x:c>
      <x:c r="D184" t="str">
        <x:v>36</x:v>
      </x:c>
      <x:c r="E184" t="str">
        <x:v>LE GÉRONDIF</x:v>
      </x:c>
      <x:c r="F184" t="str">
        <x:v>« tout » + gérondif</x:v>
      </x:c>
      <x:c r="G184" t="str">
        <x:v>tout + gérondif</x:v>
      </x:c>
      <x:c r="H184" t="str">
        <x:v>tout + gérondif هم‌زمانی پررنگ یا گاهی تضاد را بیان می‌کند.</x:v>
      </x:c>
      <x:c r="I184" t="str">
        <x:v>Lesson 36; printed p. 158</x:v>
      </x:c>
      <x:c r="J184" t="str">
        <x:v>stage1-v1.0</x:v>
      </x:c>
    </x:row>
    <x:row r="185">
      <x:c r="A185" t="str">
        <x:v>f02964d7-7e71-4d03-b130-a08b75643e9a</x:v>
      </x:c>
      <x:c r="B185" t="str">
        <x:v>L36-S05</x:v>
      </x:c>
      <x:c r="C185" t="str">
        <x:v>03b37cc5-75e7-4209-9322-1f6401df4973</x:v>
      </x:c>
      <x:c r="D185" t="str">
        <x:v>36</x:v>
      </x:c>
      <x:c r="E185" t="str">
        <x:v>LE GÉRONDIF</x:v>
      </x:c>
      <x:c r="F185" t="str">
        <x:v>Participe présent sans « en »</x:v>
      </x:c>
      <x:c r="G185" t="str">
        <x:v>participe présent بدون en</x:v>
      </x:c>
      <x:c r="H185" t="str">
        <x:v>participe présent می‌تواند در نوشتار به‌جای qui + verbe بیاید.</x:v>
      </x:c>
      <x:c r="I185" t="str">
        <x:v>Lesson 36; printed p. 158</x:v>
      </x:c>
      <x:c r="J185" t="str">
        <x:v>stage1-v1.0</x:v>
      </x:c>
    </x:row>
    <x:row r="186">
      <x:c r="A186" t="str">
        <x:v>a22f7994-4792-420b-bb49-d752095e75e7</x:v>
      </x:c>
      <x:c r="B186" t="str">
        <x:v>L37-S01</x:v>
      </x:c>
      <x:c r="C186" t="str">
        <x:v>7a66cb3a-470c-4ae3-ae32-325cf327c9f9</x:v>
      </x:c>
      <x:c r="D186" t="str">
        <x:v>37</x:v>
      </x:c>
      <x:c r="E186" t="str">
        <x:v>LES PRÉPOSITIONS et LES VERBES</x:v>
      </x:c>
      <x:c r="F186" t="str">
        <x:v>Verbes suivis de « de » + infinitif</x:v>
      </x:c>
      <x:c r="G186" t="str">
        <x:v>افعال با de + مصدر</x:v>
      </x:c>
      <x:c r="H186" t="str">
        <x:v>برخی افعال به‌صورت واژگانی de + infinitif می‌گیرند.</x:v>
      </x:c>
      <x:c r="I186" t="str">
        <x:v>Lesson 37; printed p. 160</x:v>
      </x:c>
      <x:c r="J186" t="str">
        <x:v>stage1-v1.0</x:v>
      </x:c>
    </x:row>
    <x:row r="187">
      <x:c r="A187" t="str">
        <x:v>43f5d0f3-32de-4e07-87d7-2f23f9fd82ba</x:v>
      </x:c>
      <x:c r="B187" t="str">
        <x:v>L37-S02</x:v>
      </x:c>
      <x:c r="C187" t="str">
        <x:v>7a66cb3a-470c-4ae3-ae32-325cf327c9f9</x:v>
      </x:c>
      <x:c r="D187" t="str">
        <x:v>37</x:v>
      </x:c>
      <x:c r="E187" t="str">
        <x:v>LES PRÉPOSITIONS et LES VERBES</x:v>
      </x:c>
      <x:c r="F187" t="str">
        <x:v>Verbes suivis de « à » + infinitif</x:v>
      </x:c>
      <x:c r="G187" t="str">
        <x:v>افعال با à + مصدر</x:v>
      </x:c>
      <x:c r="H187" t="str">
        <x:v>برخی افعال à + infinitif می‌گیرند.</x:v>
      </x:c>
      <x:c r="I187" t="str">
        <x:v>Lesson 37; printed p. 160</x:v>
      </x:c>
      <x:c r="J187" t="str">
        <x:v>stage1-v1.0</x:v>
      </x:c>
    </x:row>
    <x:row r="188">
      <x:c r="A188" t="str">
        <x:v>efee7130-8410-42d5-b69e-3236ccdea740</x:v>
      </x:c>
      <x:c r="B188" t="str">
        <x:v>L37-S03</x:v>
      </x:c>
      <x:c r="C188" t="str">
        <x:v>7a66cb3a-470c-4ae3-ae32-325cf327c9f9</x:v>
      </x:c>
      <x:c r="D188" t="str">
        <x:v>37</x:v>
      </x:c>
      <x:c r="E188" t="str">
        <x:v>LES PRÉPOSITIONS et LES VERBES</x:v>
      </x:c>
      <x:c r="F188" t="str">
        <x:v>Adjectif/nom + « de/à » + infinitif</x:v>
      </x:c>
      <x:c r="G188" t="str">
        <x:v>صفت/اسم + حرف اضافه + مصدر</x:v>
      </x:c>
      <x:c r="H188" t="str">
        <x:v>پس از برخی صفت‌ها/اسم‌ها de و پس از برخی ساخت‌ها à می‌آید.</x:v>
      </x:c>
      <x:c r="I188" t="str">
        <x:v>Lesson 37; printed p. 160</x:v>
      </x:c>
      <x:c r="J188" t="str">
        <x:v>stage1-v1.0</x:v>
      </x:c>
    </x:row>
    <x:row r="189">
      <x:c r="A189" t="str">
        <x:v>e10a6148-3531-4d88-8de7-cebe4ef4a2ee</x:v>
      </x:c>
      <x:c r="B189" t="str">
        <x:v>L37-S04</x:v>
      </x:c>
      <x:c r="C189" t="str">
        <x:v>7a66cb3a-470c-4ae3-ae32-325cf327c9f9</x:v>
      </x:c>
      <x:c r="D189" t="str">
        <x:v>37</x:v>
      </x:c>
      <x:c r="E189" t="str">
        <x:v>LES PRÉPOSITIONS et LES VERBES</x:v>
      </x:c>
      <x:c r="F189" t="str">
        <x:v>Verbes de goût/projet sans préposition</x:v>
      </x:c>
      <x:c r="G189" t="str">
        <x:v>افعال بدون حرف اضافه</x:v>
      </x:c>
      <x:c r="H189" t="str">
        <x:v>adorer/détester/espérer/penser + infinitif بدون حرف اضافه می‌آیند.</x:v>
      </x:c>
      <x:c r="I189" t="str">
        <x:v>Lesson 37; printed p. 160</x:v>
      </x:c>
      <x:c r="J189" t="str">
        <x:v>stage1-v1.0</x:v>
      </x:c>
    </x:row>
    <x:row r="190">
      <x:c r="A190" t="str">
        <x:v>ffa4a61a-e05e-417b-a5e6-168c69de6a8f</x:v>
      </x:c>
      <x:c r="B190" t="str">
        <x:v>L37-S05</x:v>
      </x:c>
      <x:c r="C190" t="str">
        <x:v>7a66cb3a-470c-4ae3-ae32-325cf327c9f9</x:v>
      </x:c>
      <x:c r="D190" t="str">
        <x:v>37</x:v>
      </x:c>
      <x:c r="E190" t="str">
        <x:v>LES PRÉPOSITIONS et LES VERBES</x:v>
      </x:c>
      <x:c r="F190" t="str">
        <x:v>Infinitif sujet sans préposition</x:v>
      </x:c>
      <x:c r="G190" t="str">
        <x:v>مصدرِ فاعلی</x:v>
      </x:c>
      <x:c r="H190" t="str">
        <x:v>وقتی مصدر نقش فاعل/مفهوم کلی دارد، پیش از آن حرف اضافه نمی‌آید.</x:v>
      </x:c>
      <x:c r="I190" t="str">
        <x:v>Lesson 37; printed p. 160</x:v>
      </x:c>
      <x:c r="J190" t="str">
        <x:v>stage1-v1.0</x:v>
      </x:c>
    </x:row>
    <x:row r="191">
      <x:c r="A191" t="str">
        <x:v>49111ec0-5e20-4a63-ab7d-fe23554f62ac</x:v>
      </x:c>
      <x:c r="B191" t="str">
        <x:v>L38-S01</x:v>
      </x:c>
      <x:c r="C191" t="str">
        <x:v>d138adce-c139-454e-b3a3-1ff9464bd0e8</x:v>
      </x:c>
      <x:c r="D191" t="str">
        <x:v>38</x:v>
      </x:c>
      <x:c r="E191" t="str">
        <x:v>LES VERBES de DÉPLACEMENT</x:v>
      </x:c>
      <x:c r="F191" t="str">
        <x:v>« aller » vs « venir »</x:v>
      </x:c>
      <x:c r="G191" t="str">
        <x:v>aller در برابر venir</x:v>
      </x:c>
      <x:c r="H191" t="str">
        <x:v>aller حرکت از نقطهٔ فعلی به جای دیگر و venir حرکت به سوی نقطهٔ مرجع است.</x:v>
      </x:c>
      <x:c r="I191" t="str">
        <x:v>Lesson 38; printed p. 164</x:v>
      </x:c>
      <x:c r="J191" t="str">
        <x:v>stage1-v1.0</x:v>
      </x:c>
    </x:row>
    <x:row r="192">
      <x:c r="A192" t="str">
        <x:v>0b71d77b-bd78-48ad-bc64-fbdc9dfb7d17</x:v>
      </x:c>
      <x:c r="B192" t="str">
        <x:v>L38-S02</x:v>
      </x:c>
      <x:c r="C192" t="str">
        <x:v>d138adce-c139-454e-b3a3-1ff9464bd0e8</x:v>
      </x:c>
      <x:c r="D192" t="str">
        <x:v>38</x:v>
      </x:c>
      <x:c r="E192" t="str">
        <x:v>LES VERBES de DÉPLACEMENT</x:v>
      </x:c>
      <x:c r="F192" t="str">
        <x:v>« retourner » vs « revenir »</x:v>
      </x:c>
      <x:c r="G192" t="str">
        <x:v>retourner در برابر revenir</x:v>
      </x:c>
      <x:c r="H192" t="str">
        <x:v>retourner یعنی دوباره رفتن؛ revenir یعنی دوباره آمدن به سمت مرجع.</x:v>
      </x:c>
      <x:c r="I192" t="str">
        <x:v>Lesson 38; printed p. 164</x:v>
      </x:c>
      <x:c r="J192" t="str">
        <x:v>stage1-v1.0</x:v>
      </x:c>
    </x:row>
    <x:row r="193">
      <x:c r="A193" t="str">
        <x:v>915bb937-ae94-4d2a-9e18-f40310946474</x:v>
      </x:c>
      <x:c r="B193" t="str">
        <x:v>L38-S03</x:v>
      </x:c>
      <x:c r="C193" t="str">
        <x:v>d138adce-c139-454e-b3a3-1ff9464bd0e8</x:v>
      </x:c>
      <x:c r="D193" t="str">
        <x:v>38</x:v>
      </x:c>
      <x:c r="E193" t="str">
        <x:v>LES VERBES de DÉPLACEMENT</x:v>
      </x:c>
      <x:c r="F193" t="str">
        <x:v>« rentrer »</x:v>
      </x:c>
      <x:c r="G193" t="str">
        <x:v>rentrer</x:v>
      </x:c>
      <x:c r="H193" t="str">
        <x:v>rentrer بازگشت به خانه/محل سکونت یا کشور مبدأ را بیان می‌کند.</x:v>
      </x:c>
      <x:c r="I193" t="str">
        <x:v>Lesson 38; printed p. 164</x:v>
      </x:c>
      <x:c r="J193" t="str">
        <x:v>stage1-v1.0</x:v>
      </x:c>
    </x:row>
    <x:row r="194">
      <x:c r="A194" t="str">
        <x:v>a11e9294-f086-45ad-a720-b4f8d3582754</x:v>
      </x:c>
      <x:c r="B194" t="str">
        <x:v>L38-S04</x:v>
      </x:c>
      <x:c r="C194" t="str">
        <x:v>d138adce-c139-454e-b3a3-1ff9464bd0e8</x:v>
      </x:c>
      <x:c r="D194" t="str">
        <x:v>38</x:v>
      </x:c>
      <x:c r="E194" t="str">
        <x:v>LES VERBES de DÉPLACEMENT</x:v>
      </x:c>
      <x:c r="F194" t="str">
        <x:v>« avec moi/nous » et « venir »</x:v>
      </x:c>
      <x:c r="G194" t="str">
        <x:v>با من/ما و venir</x:v>
      </x:c>
      <x:c r="H194" t="str">
        <x:v>در ساخت «با من/ما»، کتاب venir را طبیعی می‌داند.</x:v>
      </x:c>
      <x:c r="I194" t="str">
        <x:v>Lesson 38; printed p. 164</x:v>
      </x:c>
      <x:c r="J194" t="str">
        <x:v>stage1-v1.0</x:v>
      </x:c>
    </x:row>
    <x:row r="195">
      <x:c r="A195" t="str">
        <x:v>c690a2f0-9917-4311-8823-683acb6d8dba</x:v>
      </x:c>
      <x:c r="B195" t="str">
        <x:v>L38-S05</x:v>
      </x:c>
      <x:c r="C195" t="str">
        <x:v>d138adce-c139-454e-b3a3-1ff9464bd0e8</x:v>
      </x:c>
      <x:c r="D195" t="str">
        <x:v>38</x:v>
      </x:c>
      <x:c r="E195" t="str">
        <x:v>LES VERBES de DÉPLACEMENT</x:v>
      </x:c>
      <x:c r="F195" t="str">
        <x:v>Verbe de déplacement + infinitif</x:v>
      </x:c>
      <x:c r="G195" t="str">
        <x:v>فعل حرکت + مصدر</x:v>
      </x:c>
      <x:c r="H195" t="str">
        <x:v>افعال حرکت مانند aller/venir/monter/passer می‌توانند مستقیماً مصدر هدف را بدون حرف اضافه بگیرند.</x:v>
      </x:c>
      <x:c r="I195" t="str">
        <x:v>Lesson 38; printed p. 164</x:v>
      </x:c>
      <x:c r="J195" t="str">
        <x:v>stage1-v1.0</x:v>
      </x:c>
    </x:row>
    <x:row r="196">
      <x:c r="A196" t="str">
        <x:v>74af5963-2c56-4f57-a963-8ab0161caf09</x:v>
      </x:c>
      <x:c r="B196" t="str">
        <x:v>L38-S06</x:v>
      </x:c>
      <x:c r="C196" t="str">
        <x:v>d138adce-c139-454e-b3a3-1ff9464bd0e8</x:v>
      </x:c>
      <x:c r="D196" t="str">
        <x:v>38</x:v>
      </x:c>
      <x:c r="E196" t="str">
        <x:v>LES VERBES de DÉPLACEMENT</x:v>
      </x:c>
      <x:c r="F196" t="str">
        <x:v>« aller/venir voir » vs « visiter »</x:v>
      </x:c>
      <x:c r="G196" t="str">
        <x:v>voir شخص در برابر visiter مکان</x:v>
      </x:c>
      <x:c r="H196" t="str">
        <x:v>aller/venir voir برای دیدن شخص و visiter برای بازدید مکان/جاذبه است.</x:v>
      </x:c>
      <x:c r="I196" t="str">
        <x:v>Lesson 38; printed p. 164</x:v>
      </x:c>
      <x:c r="J196" t="str">
        <x:v>stage1-v1.0</x:v>
      </x:c>
    </x:row>
    <x:row r="197">
      <x:c r="A197" t="str">
        <x:v>9e5ff7cf-c8b4-41dd-8cd6-c8ac28a78108</x:v>
      </x:c>
      <x:c r="B197" t="str">
        <x:v>L39-S01</x:v>
      </x:c>
      <x:c r="C197" t="str">
        <x:v>2cc8ffec-0888-40b2-bb6b-23bb8ebcd4f0</x:v>
      </x:c>
      <x:c r="D197" t="str">
        <x:v>39</x:v>
      </x:c>
      <x:c r="E197" t="str">
        <x:v>LE FUTUR PROCHE</x:v>
      </x:c>
      <x:c r="F197" t="str">
        <x:v>Utilisation du futur proche</x:v>
      </x:c>
      <x:c r="G197" t="str">
        <x:v>کاربرد futur proche</x:v>
      </x:c>
      <x:c r="H197" t="str">
        <x:v>futur proche رویداد آینده را اغلب با حس نزدیکی/فوریت بیان می‌کند.</x:v>
      </x:c>
      <x:c r="I197" t="str">
        <x:v>Lesson 39; printed p. 166</x:v>
      </x:c>
      <x:c r="J197" t="str">
        <x:v>stage1-v1.0</x:v>
      </x:c>
    </x:row>
    <x:row r="198">
      <x:c r="A198" t="str">
        <x:v>31193bae-229f-465e-a787-fb1b9a85f92e</x:v>
      </x:c>
      <x:c r="B198" t="str">
        <x:v>L39-S02</x:v>
      </x:c>
      <x:c r="C198" t="str">
        <x:v>2cc8ffec-0888-40b2-bb6b-23bb8ebcd4f0</x:v>
      </x:c>
      <x:c r="D198" t="str">
        <x:v>39</x:v>
      </x:c>
      <x:c r="E198" t="str">
        <x:v>LE FUTUR PROCHE</x:v>
      </x:c>
      <x:c r="F198" t="str">
        <x:v>Formation « aller + infinitif »</x:v>
      </x:c>
      <x:c r="G198" t="str">
        <x:v>aller + مصدر</x:v>
      </x:c>
      <x:c r="H198" t="str">
        <x:v>futur proche با aller présent + infinitif ساخته می‌شود.</x:v>
      </x:c>
      <x:c r="I198" t="str">
        <x:v>Lesson 39; printed p. 166</x:v>
      </x:c>
      <x:c r="J198" t="str">
        <x:v>stage1-v1.0</x:v>
      </x:c>
    </x:row>
    <x:row r="199">
      <x:c r="A199" t="str">
        <x:v>846ed51a-9676-4ef4-b958-45d7d9b16bd1</x:v>
      </x:c>
      <x:c r="B199" t="str">
        <x:v>L39-S03</x:v>
      </x:c>
      <x:c r="C199" t="str">
        <x:v>2cc8ffec-0888-40b2-bb6b-23bb8ebcd4f0</x:v>
      </x:c>
      <x:c r="D199" t="str">
        <x:v>39</x:v>
      </x:c>
      <x:c r="E199" t="str">
        <x:v>LE FUTUR PROCHE</x:v>
      </x:c>
      <x:c r="F199" t="str">
        <x:v>Repères temporels</x:v>
      </x:c>
      <x:c r="G199" t="str">
        <x:v>نشانه‌های زمانی آیندهٔ نزدیک</x:v>
      </x:c>
      <x:c r="H199" t="str">
        <x:v>demain, ce soir, la semaine prochaine, dans un an و مانند آن زمان آینده را مشخص می‌کنند.</x:v>
      </x:c>
      <x:c r="I199" t="str">
        <x:v>Lesson 39; printed p. 166</x:v>
      </x:c>
      <x:c r="J199" t="str">
        <x:v>stage1-v1.0</x:v>
      </x:c>
    </x:row>
    <x:row r="200">
      <x:c r="A200" t="str">
        <x:v>5329091c-b0ec-4138-a8a7-04f033a49fed</x:v>
      </x:c>
      <x:c r="B200" t="str">
        <x:v>L39-S04</x:v>
      </x:c>
      <x:c r="C200" t="str">
        <x:v>2cc8ffec-0888-40b2-bb6b-23bb8ebcd4f0</x:v>
      </x:c>
      <x:c r="D200" t="str">
        <x:v>39</x:v>
      </x:c>
      <x:c r="E200" t="str">
        <x:v>LE FUTUR PROCHE</x:v>
      </x:c>
      <x:c r="F200" t="str">
        <x:v>Place du pronom complément</x:v>
      </x:c>
      <x:c r="G200" t="str">
        <x:v>جای ضمیر در futur proche</x:v>
      </x:c>
      <x:c r="H200" t="str">
        <x:v>ضمیر مفعولی پیش از مصدر قرار می‌گیرد، نه پیش از aller.</x:v>
      </x:c>
      <x:c r="I200" t="str">
        <x:v>Lesson 39; printed p. 170</x:v>
      </x:c>
      <x:c r="J200" t="str">
        <x:v>stage1-v1.0</x:v>
      </x:c>
    </x:row>
    <x:row r="201">
      <x:c r="A201" t="str">
        <x:v>d61abe20-b274-47ef-aac3-c6ec824af1d6</x:v>
      </x:c>
      <x:c r="B201" t="str">
        <x:v>L39-S05</x:v>
      </x:c>
      <x:c r="C201" t="str">
        <x:v>2cc8ffec-0888-40b2-bb6b-23bb8ebcd4f0</x:v>
      </x:c>
      <x:c r="D201" t="str">
        <x:v>39</x:v>
      </x:c>
      <x:c r="E201" t="str">
        <x:v>LE FUTUR PROCHE</x:v>
      </x:c>
      <x:c r="F201" t="str">
        <x:v>« il va y avoir / il va falloir »</x:v>
      </x:c>
      <x:c r="G201" t="str">
        <x:v>il va y avoir / falloir</x:v>
      </x:c>
      <x:c r="H201" t="str">
        <x:v>il y a و il faut در futur proche به il va y avoir / il va falloir تبدیل می‌شوند.</x:v>
      </x:c>
      <x:c r="I201" t="str">
        <x:v>Lesson 39; printed p. 170</x:v>
      </x:c>
      <x:c r="J201" t="str">
        <x:v>stage1-v1.0</x:v>
      </x:c>
    </x:row>
    <x:row r="202">
      <x:c r="A202" t="str">
        <x:v>98950c22-d59e-4c70-bc68-472d50110fed</x:v>
      </x:c>
      <x:c r="B202" t="str">
        <x:v>L39-S06</x:v>
      </x:c>
      <x:c r="C202" t="str">
        <x:v>2cc8ffec-0888-40b2-bb6b-23bb8ebcd4f0</x:v>
      </x:c>
      <x:c r="D202" t="str">
        <x:v>39</x:v>
      </x:c>
      <x:c r="E202" t="str">
        <x:v>LE FUTUR PROCHE</x:v>
      </x:c>
      <x:c r="F202" t="str">
        <x:v>Place de l’adverbe avec infinitif</x:v>
      </x:c>
      <x:c r="G202" t="str">
        <x:v>جای قید با مصدر</x:v>
      </x:c>
      <x:c r="H202" t="str">
        <x:v>قیدهای مقدار/کیفیت غالباً میان فعل صرف‌شده و مصدر؛ قیدهای مکان/زمان و بسیاری -mentها پس از مصدر می‌آیند.</x:v>
      </x:c>
      <x:c r="I202" t="str">
        <x:v>Lesson 39; printed p. 170</x:v>
      </x:c>
      <x:c r="J202" t="str">
        <x:v>stage1-v1.0</x:v>
      </x:c>
    </x:row>
    <x:row r="203">
      <x:c r="A203" t="str">
        <x:v>9a7b6702-0181-4636-a0ed-39584fc2782a</x:v>
      </x:c>
      <x:c r="B203" t="str">
        <x:v>L39-S07</x:v>
      </x:c>
      <x:c r="C203" t="str">
        <x:v>2cc8ffec-0888-40b2-bb6b-23bb8ebcd4f0</x:v>
      </x:c>
      <x:c r="D203" t="str">
        <x:v>39</x:v>
      </x:c>
      <x:c r="E203" t="str">
        <x:v>LE FUTUR PROCHE</x:v>
      </x:c>
      <x:c r="F203" t="str">
        <x:v>Négation du futur proche</x:v>
      </x:c>
      <x:c r="G203" t="str">
        <x:v>نفی futur proche</x:v>
      </x:c>
      <x:c r="H203" t="str">
        <x:v>ne…pas پیرامون aller صرف‌شده قرار می‌گیرد.</x:v>
      </x:c>
      <x:c r="I203" t="str">
        <x:v>Lesson 39; printed p. 172</x:v>
      </x:c>
      <x:c r="J203" t="str">
        <x:v>stage1-v1.0</x:v>
      </x:c>
    </x:row>
    <x:row r="204">
      <x:c r="A204" t="str">
        <x:v>4c4db189-2709-4704-b4a0-97879e77d2ca</x:v>
      </x:c>
      <x:c r="B204" t="str">
        <x:v>L39-S08</x:v>
      </x:c>
      <x:c r="C204" t="str">
        <x:v>2cc8ffec-0888-40b2-bb6b-23bb8ebcd4f0</x:v>
      </x:c>
      <x:c r="D204" t="str">
        <x:v>39</x:v>
      </x:c>
      <x:c r="E204" t="str">
        <x:v>LE FUTUR PROCHE</x:v>
      </x:c>
      <x:c r="F204" t="str">
        <x:v>Interrogation du futur proche</x:v>
      </x:c>
      <x:c r="G204" t="str">
        <x:v>پرسش futur proche</x:v>
      </x:c>
      <x:c r="H204" t="str">
        <x:v>intonation، est-ce que و inversion روی aller صرف‌شده اعمال می‌شوند.</x:v>
      </x:c>
      <x:c r="I204" t="str">
        <x:v>Lesson 39; printed p. 172</x:v>
      </x:c>
      <x:c r="J204" t="str">
        <x:v>stage1-v1.0</x:v>
      </x:c>
    </x:row>
    <x:row r="205">
      <x:c r="A205" t="str">
        <x:v>3ff16d83-a406-43ef-b509-b1d4db28cdba</x:v>
      </x:c>
      <x:c r="B205" t="str">
        <x:v>L40-S01</x:v>
      </x:c>
      <x:c r="C205" t="str">
        <x:v>a2303764-b3c6-4a78-a5eb-287adffcd970</x:v>
      </x:c>
      <x:c r="D205" t="str">
        <x:v>40</x:v>
      </x:c>
      <x:c r="E205" t="str">
        <x:v>LE PASSÉ COMPOSÉ</x:v>
      </x:c>
      <x:c r="F205" t="str">
        <x:v>Passé composé: usage et structure</x:v>
      </x:c>
      <x:c r="G205" t="str">
        <x:v>ساخت کلی passé composé</x:v>
      </x:c>
      <x:c r="H205" t="str">
        <x:v>passé composé برای روایت رویداد گذشته و از être/avoir présent + participe passé ساخته می‌شود.</x:v>
      </x:c>
      <x:c r="I205" t="str">
        <x:v>Lesson 40; printed p. 174</x:v>
      </x:c>
      <x:c r="J205" t="str">
        <x:v>stage1-v1.0</x:v>
      </x:c>
    </x:row>
    <x:row r="206">
      <x:c r="A206" t="str">
        <x:v>dd52d599-b881-4901-ac1e-ecca2245788c</x:v>
      </x:c>
      <x:c r="B206" t="str">
        <x:v>L40-S02</x:v>
      </x:c>
      <x:c r="C206" t="str">
        <x:v>a2303764-b3c6-4a78-a5eb-287adffcd970</x:v>
      </x:c>
      <x:c r="D206" t="str">
        <x:v>40</x:v>
      </x:c>
      <x:c r="E206" t="str">
        <x:v>LE PASSÉ COMPOSÉ</x:v>
      </x:c>
      <x:c r="F206" t="str">
        <x:v>Passé composé avec « avoir »</x:v>
      </x:c>
      <x:c r="G206" t="str">
        <x:v>passé composé با avoir</x:v>
      </x:c>
      <x:c r="H206" t="str">
        <x:v>اکثر افعال با avoir ساخته می‌شوند و participe با فاعل توافق نمی‌کند.</x:v>
      </x:c>
      <x:c r="I206" t="str">
        <x:v>Lesson 40; printed p. 174</x:v>
      </x:c>
      <x:c r="J206" t="str">
        <x:v>stage1-v1.0</x:v>
      </x:c>
    </x:row>
    <x:row r="207">
      <x:c r="A207" t="str">
        <x:v>382c52bd-76b6-45e0-b356-5bfadf68c279</x:v>
      </x:c>
      <x:c r="B207" t="str">
        <x:v>L40-S03</x:v>
      </x:c>
      <x:c r="C207" t="str">
        <x:v>a2303764-b3c6-4a78-a5eb-287adffcd970</x:v>
      </x:c>
      <x:c r="D207" t="str">
        <x:v>40</x:v>
      </x:c>
      <x:c r="E207" t="str">
        <x:v>LE PASSÉ COMPOSÉ</x:v>
      </x:c>
      <x:c r="F207" t="str">
        <x:v>Formation du participe passé</x:v>
      </x:c>
      <x:c r="G207" t="str">
        <x:v>ساخت participe passé</x:v>
      </x:c>
      <x:c r="H207" t="str">
        <x:v>افعال -er → -é؛ گروه‌های دیگر الگوهای -u/-i و صورت‌های نامنظم دارند.</x:v>
      </x:c>
      <x:c r="I207" t="str">
        <x:v>Lesson 40; printed p. 178</x:v>
      </x:c>
      <x:c r="J207" t="str">
        <x:v>stage1-v1.0</x:v>
      </x:c>
    </x:row>
    <x:row r="208">
      <x:c r="A208" t="str">
        <x:v>a3946c49-8b20-47dc-8ee1-592a07aca91e</x:v>
      </x:c>
      <x:c r="B208" t="str">
        <x:v>L40-S04</x:v>
      </x:c>
      <x:c r="C208" t="str">
        <x:v>a2303764-b3c6-4a78-a5eb-287adffcd970</x:v>
      </x:c>
      <x:c r="D208" t="str">
        <x:v>40</x:v>
      </x:c>
      <x:c r="E208" t="str">
        <x:v>LE PASSÉ COMPOSÉ</x:v>
      </x:c>
      <x:c r="F208" t="str">
        <x:v>Passé composé avec « être »</x:v>
      </x:c>
      <x:c r="G208" t="str">
        <x:v>passé composé با être</x:v>
      </x:c>
      <x:c r="H208" t="str">
        <x:v>گروهی از افعال تغییر مکان/وضعیت با être می‌آیند و participe با فاعل توافق می‌کند.</x:v>
      </x:c>
      <x:c r="I208" t="str">
        <x:v>Lesson 40; printed p. 182</x:v>
      </x:c>
      <x:c r="J208" t="str">
        <x:v>stage1-v1.0</x:v>
      </x:c>
    </x:row>
    <x:row r="209">
      <x:c r="A209" t="str">
        <x:v>20bcf520-f77b-4041-8fa5-defb547b30eb</x:v>
      </x:c>
      <x:c r="B209" t="str">
        <x:v>L40-S05</x:v>
      </x:c>
      <x:c r="C209" t="str">
        <x:v>a2303764-b3c6-4a78-a5eb-287adffcd970</x:v>
      </x:c>
      <x:c r="D209" t="str">
        <x:v>40</x:v>
      </x:c>
      <x:c r="E209" t="str">
        <x:v>LE PASSÉ COMPOSÉ</x:v>
      </x:c>
      <x:c r="F209" t="str">
        <x:v>Verbes pronominaux au passé composé</x:v>
      </x:c>
      <x:c r="G209" t="str">
        <x:v>افعال pronominal در passé composé</x:v>
      </x:c>
      <x:c r="H209" t="str">
        <x:v>افعال بازتابی/متقابل passé composé را با être می‌سازند.</x:v>
      </x:c>
      <x:c r="I209" t="str">
        <x:v>Lesson 40; printed p. 186</x:v>
      </x:c>
      <x:c r="J209" t="str">
        <x:v>stage1-v1.0</x:v>
      </x:c>
    </x:row>
    <x:row r="210">
      <x:c r="A210" t="str">
        <x:v>b28ad6cf-a36f-4d2b-95d5-681532efe313</x:v>
      </x:c>
      <x:c r="B210" t="str">
        <x:v>L40-S06</x:v>
      </x:c>
      <x:c r="C210" t="str">
        <x:v>a2303764-b3c6-4a78-a5eb-287adffcd970</x:v>
      </x:c>
      <x:c r="D210" t="str">
        <x:v>40</x:v>
      </x:c>
      <x:c r="E210" t="str">
        <x:v>LE PASSÉ COMPOSÉ</x:v>
      </x:c>
      <x:c r="F210" t="str">
        <x:v>Choix « être » ou « avoir » selon transitivité</x:v>
      </x:c>
      <x:c r="G210" t="str">
        <x:v>être/avoir بر اساس transitivity</x:v>
      </x:c>
      <x:c r="H210" t="str">
        <x:v>برخی افعال جابه‌جایی بدون COD با être و با COD با avoir می‌آیند.</x:v>
      </x:c>
      <x:c r="I210" t="str">
        <x:v>Lesson 40; printed p. 186</x:v>
      </x:c>
      <x:c r="J210" t="str">
        <x:v>stage1-v1.0</x:v>
      </x:c>
    </x:row>
    <x:row r="211">
      <x:c r="A211" t="str">
        <x:v>2e14fedc-db60-4f8c-9896-8f76a4bed6d9</x:v>
      </x:c>
      <x:c r="B211" t="str">
        <x:v>L40-S07</x:v>
      </x:c>
      <x:c r="C211" t="str">
        <x:v>a2303764-b3c6-4a78-a5eb-287adffcd970</x:v>
      </x:c>
      <x:c r="D211" t="str">
        <x:v>40</x:v>
      </x:c>
      <x:c r="E211" t="str">
        <x:v>LE PASSÉ COMPOSÉ</x:v>
      </x:c>
      <x:c r="F211" t="str">
        <x:v>Accord avec « être »</x:v>
      </x:c>
      <x:c r="G211" t="str">
        <x:v>توافق participe با être</x:v>
      </x:c>
      <x:c r="H211" t="str">
        <x:v>با être participe معمولاً با فاعل توافق می‌کند.</x:v>
      </x:c>
      <x:c r="I211" t="str">
        <x:v>Lesson 40; printed p. 190</x:v>
      </x:c>
      <x:c r="J211" t="str">
        <x:v>stage1-v1.0</x:v>
      </x:c>
    </x:row>
    <x:row r="212">
      <x:c r="A212" t="str">
        <x:v>b8eccc93-ce9d-4f45-9896-f688a36306a3</x:v>
      </x:c>
      <x:c r="B212" t="str">
        <x:v>L40-S08</x:v>
      </x:c>
      <x:c r="C212" t="str">
        <x:v>a2303764-b3c6-4a78-a5eb-287adffcd970</x:v>
      </x:c>
      <x:c r="D212" t="str">
        <x:v>40</x:v>
      </x:c>
      <x:c r="E212" t="str">
        <x:v>LE PASSÉ COMPOSÉ</x:v>
      </x:c>
      <x:c r="F212" t="str">
        <x:v>Accord avec « avoir » et COD antéposé</x:v>
      </x:c>
      <x:c r="G212" t="str">
        <x:v>توافق با avoir و COD مقدم</x:v>
      </x:c>
      <x:c r="H212" t="str">
        <x:v>با avoir participe با فاعل توافق نمی‌کند؛ اگر COD پیش از participe باشد، با COD توافق می‌کند.</x:v>
      </x:c>
      <x:c r="I212" t="str">
        <x:v>Lesson 40; printed p. 190</x:v>
      </x:c>
      <x:c r="J212" t="str">
        <x:v>stage1-v1.0</x:v>
      </x:c>
    </x:row>
    <x:row r="213">
      <x:c r="A213" t="str">
        <x:v>1965248a-5e07-475b-9eaf-a88d5542ddf4</x:v>
      </x:c>
      <x:c r="B213" t="str">
        <x:v>L40-S09</x:v>
      </x:c>
      <x:c r="C213" t="str">
        <x:v>a2303764-b3c6-4a78-a5eb-287adffcd970</x:v>
      </x:c>
      <x:c r="D213" t="str">
        <x:v>40</x:v>
      </x:c>
      <x:c r="E213" t="str">
        <x:v>LE PASSÉ COMPOSÉ</x:v>
      </x:c>
      <x:c r="F213" t="str">
        <x:v>Pronom complément au passé composé</x:v>
      </x:c>
      <x:c r="G213" t="str">
        <x:v>ضمیر مفعولی در passé composé</x:v>
      </x:c>
      <x:c r="H213" t="str">
        <x:v>ضمیر پیش از auxiliary قرار می‌گیرد.</x:v>
      </x:c>
      <x:c r="I213" t="str">
        <x:v>Lesson 40; printed p. 192</x:v>
      </x:c>
      <x:c r="J213" t="str">
        <x:v>stage1-v1.0</x:v>
      </x:c>
    </x:row>
    <x:row r="214">
      <x:c r="A214" t="str">
        <x:v>131ed222-abe9-4e01-ae61-1a8cad859dbf</x:v>
      </x:c>
      <x:c r="B214" t="str">
        <x:v>L40-S10</x:v>
      </x:c>
      <x:c r="C214" t="str">
        <x:v>a2303764-b3c6-4a78-a5eb-287adffcd970</x:v>
      </x:c>
      <x:c r="D214" t="str">
        <x:v>40</x:v>
      </x:c>
      <x:c r="E214" t="str">
        <x:v>LE PASSÉ COMPOSÉ</x:v>
      </x:c>
      <x:c r="F214" t="str">
        <x:v>Adverbe au passé composé</x:v>
      </x:c>
      <x:c r="G214" t="str">
        <x:v>قید در passé composé</x:v>
      </x:c>
      <x:c r="H214" t="str">
        <x:v>قیدهای مقدار/کیفیت معمولاً میان auxiliary و participe؛ قیدهای مکان/زمان غالباً پس از فعل مرکب می‌آیند.</x:v>
      </x:c>
      <x:c r="I214" t="str">
        <x:v>Lesson 40; printed p. 192</x:v>
      </x:c>
      <x:c r="J214" t="str">
        <x:v>stage1-v1.0</x:v>
      </x:c>
    </x:row>
    <x:row r="215">
      <x:c r="A215" t="str">
        <x:v>041cc974-4a7d-490f-baea-f898db26d264</x:v>
      </x:c>
      <x:c r="B215" t="str">
        <x:v>L40-S11</x:v>
      </x:c>
      <x:c r="C215" t="str">
        <x:v>a2303764-b3c6-4a78-a5eb-287adffcd970</x:v>
      </x:c>
      <x:c r="D215" t="str">
        <x:v>40</x:v>
      </x:c>
      <x:c r="E215" t="str">
        <x:v>LE PASSÉ COMPOSÉ</x:v>
      </x:c>
      <x:c r="F215" t="str">
        <x:v>Négation au passé composé</x:v>
      </x:c>
      <x:c r="G215" t="str">
        <x:v>نفی passé composé</x:v>
      </x:c>
      <x:c r="H215" t="str">
        <x:v>ne…pas/rien/jamais/plus پیرامون auxiliary قرار می‌گیرد.</x:v>
      </x:c>
      <x:c r="I215" t="str">
        <x:v>Lesson 40; printed p. 194</x:v>
      </x:c>
      <x:c r="J215" t="str">
        <x:v>stage1-v1.0</x:v>
      </x:c>
    </x:row>
    <x:row r="216">
      <x:c r="A216" t="str">
        <x:v>a6ae8e7e-d257-4936-99dc-ccb62ea3da7d</x:v>
      </x:c>
      <x:c r="B216" t="str">
        <x:v>L40-S12</x:v>
      </x:c>
      <x:c r="C216" t="str">
        <x:v>a2303764-b3c6-4a78-a5eb-287adffcd970</x:v>
      </x:c>
      <x:c r="D216" t="str">
        <x:v>40</x:v>
      </x:c>
      <x:c r="E216" t="str">
        <x:v>LE PASSÉ COMPOSÉ</x:v>
      </x:c>
      <x:c r="F216" t="str">
        <x:v>Interrogation au passé composé</x:v>
      </x:c>
      <x:c r="G216" t="str">
        <x:v>پرسش passé composé</x:v>
      </x:c>
      <x:c r="H216" t="str">
        <x:v>پرسش با intonation، est-ce que یا inversion auxiliary-pronom ساخته می‌شود.</x:v>
      </x:c>
      <x:c r="I216" t="str">
        <x:v>Lesson 40; printed p. 194</x:v>
      </x:c>
      <x:c r="J216" t="str">
        <x:v>stage1-v1.0</x:v>
      </x:c>
    </x:row>
    <x:row r="217">
      <x:c r="A217" t="str">
        <x:v>6c810495-d2a8-4075-b690-5ab406c82265</x:v>
      </x:c>
      <x:c r="B217" t="str">
        <x:v>L41-S01</x:v>
      </x:c>
      <x:c r="C217" t="str">
        <x:v>61d3b6b5-dd58-4ca4-b78d-521013ae2461</x:v>
      </x:c>
      <x:c r="D217" t="str">
        <x:v>41</x:v>
      </x:c>
      <x:c r="E217" t="str">
        <x:v>LE TEMPS (3)</x:v>
      </x:c>
      <x:c r="F217" t="str">
        <x:v>« il y a » passé vs « dans » futur</x:v>
      </x:c>
      <x:c r="G217" t="str">
        <x:v>il y a برای گذشته و dans برای آینده</x:v>
      </x:c>
      <x:c r="H217" t="str">
        <x:v>il y a فاصله تا یک نقطهٔ گذشته و dans فاصله تا یک نقطهٔ آینده را بیان می‌کند.</x:v>
      </x:c>
      <x:c r="I217" t="str">
        <x:v>Lesson 41; printed p. 198</x:v>
      </x:c>
      <x:c r="J217" t="str">
        <x:v>stage1-v1.0</x:v>
      </x:c>
    </x:row>
    <x:row r="218">
      <x:c r="A218" t="str">
        <x:v>c649df87-b48a-48a4-9379-c6adc4a5d1e6</x:v>
      </x:c>
      <x:c r="B218" t="str">
        <x:v>L41-S02</x:v>
      </x:c>
      <x:c r="C218" t="str">
        <x:v>61d3b6b5-dd58-4ca4-b78d-521013ae2461</x:v>
      </x:c>
      <x:c r="D218" t="str">
        <x:v>41</x:v>
      </x:c>
      <x:c r="E218" t="str">
        <x:v>LE TEMPS (3)</x:v>
      </x:c>
      <x:c r="F218" t="str">
        <x:v>« depuis » origine et durée</x:v>
      </x:c>
      <x:c r="G218" t="str">
        <x:v>depuis برای مبدأ/مدت</x:v>
      </x:c>
      <x:c r="H218" t="str">
        <x:v>depuis مدت از مبدأ گذشته تا اکنون را بیان می‌کند.</x:v>
      </x:c>
      <x:c r="I218" t="str">
        <x:v>Lesson 41; printed p. 198</x:v>
      </x:c>
      <x:c r="J218" t="str">
        <x:v>stage1-v1.0</x:v>
      </x:c>
    </x:row>
    <x:row r="219">
      <x:c r="A219" t="str">
        <x:v>f7653e97-d75c-4b1b-91ce-f6550b54445d</x:v>
      </x:c>
      <x:c r="B219" t="str">
        <x:v>L41-S03</x:v>
      </x:c>
      <x:c r="C219" t="str">
        <x:v>61d3b6b5-dd58-4ca4-b78d-521013ae2461</x:v>
      </x:c>
      <x:c r="D219" t="str">
        <x:v>41</x:v>
      </x:c>
      <x:c r="E219" t="str">
        <x:v>LE TEMPS (3)</x:v>
      </x:c>
      <x:c r="F219" t="str">
        <x:v>« pour/pendant/en » révision</x:v>
      </x:c>
      <x:c r="G219" t="str">
        <x:v>مرور pour/pendant/en</x:v>
      </x:c>
      <x:c r="H219" t="str">
        <x:v>pour مدت پیش‌بینی‌شده، pendant مدت محدود واقعی، en زمان لازم برای انجام است.</x:v>
      </x:c>
      <x:c r="I219" t="str">
        <x:v>Lesson 41; printed p. 198</x:v>
      </x:c>
      <x:c r="J219" t="str">
        <x:v>stage1-v1.0</x:v>
      </x:c>
    </x:row>
    <x:row r="220">
      <x:c r="A220" t="str">
        <x:v>68c41808-a133-4a7d-8fce-7fc7500fdc93</x:v>
      </x:c>
      <x:c r="B220" t="str">
        <x:v>L41-S04</x:v>
      </x:c>
      <x:c r="C220" t="str">
        <x:v>61d3b6b5-dd58-4ca4-b78d-521013ae2461</x:v>
      </x:c>
      <x:c r="D220" t="str">
        <x:v>41</x:v>
      </x:c>
      <x:c r="E220" t="str">
        <x:v>LE TEMPS (3)</x:v>
      </x:c>
      <x:c r="F220" t="str">
        <x:v>Chronologie par rapport au présent</x:v>
      </x:c>
      <x:c r="G220" t="str">
        <x:v>زمان‌نماها نسبت به حال</x:v>
      </x:c>
      <x:c r="H220" t="str">
        <x:v>avant-hier/hier/aujourd’hui/demain/après-demain و هفته/ماه/سال قبل/این/بعد محور زمانی نسبت به اکنون‌اند.</x:v>
      </x:c>
      <x:c r="I220" t="str">
        <x:v>Lesson 41; printed p. 200</x:v>
      </x:c>
      <x:c r="J220" t="str">
        <x:v>stage1-v1.0</x:v>
      </x:c>
    </x:row>
    <x:row r="221">
      <x:c r="A221" t="str">
        <x:v>29f66414-3de7-476a-9dcc-3e29d1eaa006</x:v>
      </x:c>
      <x:c r="B221" t="str">
        <x:v>L41-S05</x:v>
      </x:c>
      <x:c r="C221" t="str">
        <x:v>61d3b6b5-dd58-4ca4-b78d-521013ae2461</x:v>
      </x:c>
      <x:c r="D221" t="str">
        <x:v>41</x:v>
      </x:c>
      <x:c r="E221" t="str">
        <x:v>LE TEMPS (3)</x:v>
      </x:c>
      <x:c r="F221" t="str">
        <x:v>Chronologie par rapport au passé/futur</x:v>
      </x:c>
      <x:c r="G221" t="str">
        <x:v>زمان‌نماها نسبت به مرجع دیگر</x:v>
      </x:c>
      <x:c r="H221" t="str">
        <x:v>la veille/ce jour-là/le lendemain و semaine/mois/année d’avant/d’après نسبت به نقطه‌ای غیر از اکنون استفاده می‌شوند.</x:v>
      </x:c>
      <x:c r="I221" t="str">
        <x:v>Lesson 41; printed p. 200</x:v>
      </x:c>
      <x:c r="J221" t="str">
        <x:v>stage1-v1.0</x:v>
      </x:c>
    </x:row>
    <x:row r="222">
      <x:c r="A222" t="str">
        <x:v>60a56711-90e8-4268-ab42-2e824f23299f</x:v>
      </x:c>
      <x:c r="B222" t="str">
        <x:v>L41-S06</x:v>
      </x:c>
      <x:c r="C222" t="str">
        <x:v>61d3b6b5-dd58-4ca4-b78d-521013ae2461</x:v>
      </x:c>
      <x:c r="D222" t="str">
        <x:v>41</x:v>
      </x:c>
      <x:c r="E222" t="str">
        <x:v>LE TEMPS (3)</x:v>
      </x:c>
      <x:c r="F222" t="str">
        <x:v>Succession avec « après + infinitif passé »</x:v>
      </x:c>
      <x:c r="G222" t="str">
        <x:v>توالی با après + مصدر گذشته</x:v>
      </x:c>
      <x:c r="H222" t="str">
        <x:v>اگر فاعل دو عمل یکسان باشد، après + infinitif passé عمل کامل‌شدهٔ قبلی را بیان می‌کند.</x:v>
      </x:c>
      <x:c r="I222" t="str">
        <x:v>Lesson 41; printed p. 202</x:v>
      </x:c>
      <x:c r="J222" t="str">
        <x:v>stage1-v1.0</x:v>
      </x:c>
    </x:row>
    <x:row r="223">
      <x:c r="A223" t="str">
        <x:v>d6952e44-05e8-4cfc-b306-041241d04694</x:v>
      </x:c>
      <x:c r="B223" t="str">
        <x:v>L41-S07</x:v>
      </x:c>
      <x:c r="C223" t="str">
        <x:v>61d3b6b5-dd58-4ca4-b78d-521013ae2461</x:v>
      </x:c>
      <x:c r="D223" t="str">
        <x:v>41</x:v>
      </x:c>
      <x:c r="E223" t="str">
        <x:v>LE TEMPS (3)</x:v>
      </x:c>
      <x:c r="F223" t="str">
        <x:v>Succession avec « avant de + infinitif »</x:v>
      </x:c>
      <x:c r="G223" t="str">
        <x:v>توالی با avant de</x:v>
      </x:c>
      <x:c r="H223" t="str">
        <x:v>اگر فاعل دو عمل یکسان باشد، avant de + infinitif عمل قبل از رویداد اصلی را بیان می‌کند.</x:v>
      </x:c>
      <x:c r="I223" t="str">
        <x:v>Lesson 41; printed p. 202</x:v>
      </x:c>
      <x:c r="J223" t="str">
        <x:v>stage1-v1.0</x:v>
      </x:c>
    </x:row>
    <x:row r="224">
      <x:c r="A224" t="str">
        <x:v>96d9a85d-33dd-475f-bf39-642155929505</x:v>
      </x:c>
      <x:c r="B224" t="str">
        <x:v>L42-S01</x:v>
      </x:c>
      <x:c r="C224" t="str">
        <x:v>79d5da54-9d06-473a-a60c-1c4cb74c38e1</x:v>
      </x:c>
      <x:c r="D224" t="str">
        <x:v>42</x:v>
      </x:c>
      <x:c r="E224" t="str">
        <x:v>LE PASSIF</x:v>
      </x:c>
      <x:c r="F224" t="str">
        <x:v>Usage du passif</x:v>
      </x:c>
      <x:c r="G224" t="str">
        <x:v>کاربرد مجهول</x:v>
      </x:c>
      <x:c r="H224" t="str">
        <x:v>passif وقتی تمرکز از عامل به مفعول/رویداد منتقل می‌شود استفاده می‌شود.</x:v>
      </x:c>
      <x:c r="I224" t="str">
        <x:v>Lesson 42; printed p. 204</x:v>
      </x:c>
      <x:c r="J224" t="str">
        <x:v>stage1-v1.0</x:v>
      </x:c>
    </x:row>
    <x:row r="225">
      <x:c r="A225" t="str">
        <x:v>123f377f-804d-4d67-8472-c6fb99312697</x:v>
      </x:c>
      <x:c r="B225" t="str">
        <x:v>L42-S02</x:v>
      </x:c>
      <x:c r="C225" t="str">
        <x:v>79d5da54-9d06-473a-a60c-1c4cb74c38e1</x:v>
      </x:c>
      <x:c r="D225" t="str">
        <x:v>42</x:v>
      </x:c>
      <x:c r="E225" t="str">
        <x:v>LE PASSIF</x:v>
      </x:c>
      <x:c r="F225" t="str">
        <x:v>Formation « être + participe passé (+ par) »</x:v>
      </x:c>
      <x:c r="G225" t="str">
        <x:v>ساخت مجهول</x:v>
      </x:c>
      <x:c r="H225" t="str">
        <x:v>passif = être در زمان مناسب + participe passé + par + agent اختیاری.</x:v>
      </x:c>
      <x:c r="I225" t="str">
        <x:v>Lesson 42; printed p. 204</x:v>
      </x:c>
      <x:c r="J225" t="str">
        <x:v>stage1-v1.0</x:v>
      </x:c>
    </x:row>
    <x:row r="226">
      <x:c r="A226" t="str">
        <x:v>e40d0f6e-10bc-4104-9005-bd27e544a5a3</x:v>
      </x:c>
      <x:c r="B226" t="str">
        <x:v>L42-S03</x:v>
      </x:c>
      <x:c r="C226" t="str">
        <x:v>79d5da54-9d06-473a-a60c-1c4cb74c38e1</x:v>
      </x:c>
      <x:c r="D226" t="str">
        <x:v>42</x:v>
      </x:c>
      <x:c r="E226" t="str">
        <x:v>LE PASSIF</x:v>
      </x:c>
      <x:c r="F226" t="str">
        <x:v>Agent omis</x:v>
      </x:c>
      <x:c r="G226" t="str">
        <x:v>حذف عامل</x:v>
      </x:c>
      <x:c r="H226" t="str">
        <x:v>اگر عامل نامهم/ناشناخته/بدیهی باشد، par + agent حذف می‌شود.</x:v>
      </x:c>
      <x:c r="I226" t="str">
        <x:v>Lesson 42; printed p. 204</x:v>
      </x:c>
      <x:c r="J226" t="str">
        <x:v>stage1-v1.0</x:v>
      </x:c>
    </x:row>
    <x:row r="227">
      <x:c r="A227" t="str">
        <x:v>e9c5e370-1014-44fe-8a2e-d2526865725b</x:v>
      </x:c>
      <x:c r="B227" t="str">
        <x:v>L42-S04</x:v>
      </x:c>
      <x:c r="C227" t="str">
        <x:v>79d5da54-9d06-473a-a60c-1c4cb74c38e1</x:v>
      </x:c>
      <x:c r="D227" t="str">
        <x:v>42</x:v>
      </x:c>
      <x:c r="E227" t="str">
        <x:v>LE PASSIF</x:v>
      </x:c>
      <x:c r="F227" t="str">
        <x:v>Éviter agent pronominal</x:v>
      </x:c>
      <x:c r="G227" t="str">
        <x:v>پرهیز از عامل ضمیری</x:v>
      </x:c>
      <x:c r="H227" t="str">
        <x:v>وقتی عامل ضمیر شخصی است، کتاب passive با par + pronom را توصیه نمی‌کند.</x:v>
      </x:c>
      <x:c r="I227" t="str">
        <x:v>Lesson 42; printed p. 204</x:v>
      </x:c>
      <x:c r="J227" t="str">
        <x:v>stage1-v1.0</x:v>
      </x:c>
    </x:row>
    <x:row r="228">
      <x:c r="A228" t="str">
        <x:v>5ff9eee7-418c-4ee3-b80f-9ff7ab30542a</x:v>
      </x:c>
      <x:c r="B228" t="str">
        <x:v>L42-S05</x:v>
      </x:c>
      <x:c r="C228" t="str">
        <x:v>79d5da54-9d06-473a-a60c-1c4cb74c38e1</x:v>
      </x:c>
      <x:c r="D228" t="str">
        <x:v>42</x:v>
      </x:c>
      <x:c r="E228" t="str">
        <x:v>LE PASSIF</x:v>
      </x:c>
      <x:c r="F228" t="str">
        <x:v>« de » au lieu de « par »</x:v>
      </x:c>
      <x:c r="G228" t="str">
        <x:v>de به‌جای par</x:v>
      </x:c>
      <x:c r="H228" t="str">
        <x:v>با برخی افعال حالت/نگرش مانند aimer, connaître, respecter، عامل با de معرفی می‌شود.</x:v>
      </x:c>
      <x:c r="I228" t="str">
        <x:v>Lesson 42; printed p. 204</x:v>
      </x:c>
      <x:c r="J228" t="str">
        <x:v>stage1-v1.0</x:v>
      </x:c>
    </x:row>
    <x:row r="229">
      <x:c r="A229" t="str">
        <x:v>95964c3a-cde2-42ef-b313-9510e2f75f63</x:v>
      </x:c>
      <x:c r="B229" t="str">
        <x:v>L43-S01</x:v>
      </x:c>
      <x:c r="C229" t="str">
        <x:v>1a7369fc-5f96-48eb-9433-a91853b0f074</x:v>
      </x:c>
      <x:c r="D229" t="str">
        <x:v>43</x:v>
      </x:c>
      <x:c r="E229" t="str">
        <x:v>L’IMPARFAIT</x:v>
      </x:c>
      <x:c r="F229" t="str">
        <x:v>Usage pour habitudes passées</x:v>
      </x:c>
      <x:c r="G229" t="str">
        <x:v>imparfait برای عادت گذشته</x:v>
      </x:c>
      <x:c r="H229" t="str">
        <x:v>imparfait عادت‌ها و وضعیت‌های تکراری/پس‌زمینه در گذشته را بیان می‌کند.</x:v>
      </x:c>
      <x:c r="I229" t="str">
        <x:v>Lesson 43; printed p. 206</x:v>
      </x:c>
      <x:c r="J229" t="str">
        <x:v>stage1-v1.0</x:v>
      </x:c>
    </x:row>
    <x:row r="230">
      <x:c r="A230" t="str">
        <x:v>21b1c7ef-becd-4faf-bf0d-18b46de350c9</x:v>
      </x:c>
      <x:c r="B230" t="str">
        <x:v>L43-S02</x:v>
      </x:c>
      <x:c r="C230" t="str">
        <x:v>1a7369fc-5f96-48eb-9433-a91853b0f074</x:v>
      </x:c>
      <x:c r="D230" t="str">
        <x:v>43</x:v>
      </x:c>
      <x:c r="E230" t="str">
        <x:v>L’IMPARFAIT</x:v>
      </x:c>
      <x:c r="F230" t="str">
        <x:v>Formation de l’imparfait</x:v>
      </x:c>
      <x:c r="G230" t="str">
        <x:v>ساخت imparfait</x:v>
      </x:c>
      <x:c r="H230" t="str">
        <x:v>ریشهٔ nous présent بدون -ons + ais, ais, ait, ions, iez, aient.</x:v>
      </x:c>
      <x:c r="I230" t="str">
        <x:v>Lesson 43; printed p. 206</x:v>
      </x:c>
      <x:c r="J230" t="str">
        <x:v>stage1-v1.0</x:v>
      </x:c>
    </x:row>
    <x:row r="231">
      <x:c r="A231" t="str">
        <x:v>d815747f-2645-464a-8ea2-243eb7e24c44</x:v>
      </x:c>
      <x:c r="B231" t="str">
        <x:v>L43-S03</x:v>
      </x:c>
      <x:c r="C231" t="str">
        <x:v>1a7369fc-5f96-48eb-9433-a91853b0f074</x:v>
      </x:c>
      <x:c r="D231" t="str">
        <x:v>43</x:v>
      </x:c>
      <x:c r="E231" t="str">
        <x:v>L’IMPARFAIT</x:v>
      </x:c>
      <x:c r="F231" t="str">
        <x:v>Imparfait pour décor/circonstances</x:v>
      </x:c>
      <x:c r="G231" t="str">
        <x:v>imparfait برای زمینهٔ روایت</x:v>
      </x:c>
      <x:c r="H231" t="str">
        <x:v>imparfait زمان، هوا، وضعیت و عمل در جریان را به‌عنوان پس‌زمینه بیان می‌کند.</x:v>
      </x:c>
      <x:c r="I231" t="str">
        <x:v>Lesson 43; printed p. 210</x:v>
      </x:c>
      <x:c r="J231" t="str">
        <x:v>stage1-v1.0</x:v>
      </x:c>
    </x:row>
    <x:row r="232">
      <x:c r="A232" t="str">
        <x:v>fd5a99a7-4420-4160-ba5f-0ba966e29f49</x:v>
      </x:c>
      <x:c r="B232" t="str">
        <x:v>L43-S04</x:v>
      </x:c>
      <x:c r="C232" t="str">
        <x:v>1a7369fc-5f96-48eb-9433-a91853b0f074</x:v>
      </x:c>
      <x:c r="D232" t="str">
        <x:v>43</x:v>
      </x:c>
      <x:c r="E232" t="str">
        <x:v>L’IMPARFAIT</x:v>
      </x:c>
      <x:c r="F232" t="str">
        <x:v>Passé composé pour événements</x:v>
      </x:c>
      <x:c r="G232" t="str">
        <x:v>passé composé برای رویداد</x:v>
      </x:c>
      <x:c r="H232" t="str">
        <x:v>passé composé رویدادهای متوالی یا تغییرهای مشخص را بیان می‌کند.</x:v>
      </x:c>
      <x:c r="I232" t="str">
        <x:v>Lesson 43; printed p. 210</x:v>
      </x:c>
      <x:c r="J232" t="str">
        <x:v>stage1-v1.0</x:v>
      </x:c>
    </x:row>
    <x:row r="233">
      <x:c r="A233" t="str">
        <x:v>fcc8f377-fbb7-4e52-b785-d2972d116bbb</x:v>
      </x:c>
      <x:c r="B233" t="str">
        <x:v>L43-S05</x:v>
      </x:c>
      <x:c r="C233" t="str">
        <x:v>1a7369fc-5f96-48eb-9433-a91853b0f074</x:v>
      </x:c>
      <x:c r="D233" t="str">
        <x:v>43</x:v>
      </x:c>
      <x:c r="E233" t="str">
        <x:v>L’IMPARFAIT</x:v>
      </x:c>
      <x:c r="F233" t="str">
        <x:v>« pendant que » et action en cours</x:v>
      </x:c>
      <x:c r="G233" t="str">
        <x:v>pendant que و عمل جاری</x:v>
      </x:c>
      <x:c r="H233" t="str">
        <x:v>pendant que دو عمل زمینه‌ای/هم‌زمان را به imparfait پیوند می‌دهد.</x:v>
      </x:c>
      <x:c r="I233" t="str">
        <x:v>Lesson 43; printed p. 210</x:v>
      </x:c>
      <x:c r="J233" t="str">
        <x:v>stage1-v1.0</x:v>
      </x:c>
    </x:row>
    <x:row r="234">
      <x:c r="A234" t="str">
        <x:v>31cdd8e4-a7d4-4e70-a8e9-73420fa014ae</x:v>
      </x:c>
      <x:c r="B234" t="str">
        <x:v>L43-S06</x:v>
      </x:c>
      <x:c r="C234" t="str">
        <x:v>1a7369fc-5f96-48eb-9433-a91853b0f074</x:v>
      </x:c>
      <x:c r="D234" t="str">
        <x:v>43</x:v>
      </x:c>
      <x:c r="E234" t="str">
        <x:v>L’IMPARFAIT</x:v>
      </x:c>
      <x:c r="F234" t="str">
        <x:v>Durée définie vs indéfinie</x:v>
      </x:c>
      <x:c r="G234" t="str">
        <x:v>مدت معین/نامعین</x:v>
      </x:c>
      <x:c r="H234" t="str">
        <x:v>passé composé می‌تواند مدت مشخص و کامل‌شده؛ imparfait مدت باز/وضعیت را بیان کند.</x:v>
      </x:c>
      <x:c r="I234" t="str">
        <x:v>Lesson 43; printed p. 210</x:v>
      </x:c>
      <x:c r="J234" t="str">
        <x:v>stage1-v1.0</x:v>
      </x:c>
    </x:row>
    <x:row r="235">
      <x:c r="A235" t="str">
        <x:v>a73cb475-3341-4cac-bbd5-928becdc7293</x:v>
      </x:c>
      <x:c r="B235" t="str">
        <x:v>L43-S07</x:v>
      </x:c>
      <x:c r="C235" t="str">
        <x:v>1a7369fc-5f96-48eb-9433-a91853b0f074</x:v>
      </x:c>
      <x:c r="D235" t="str">
        <x:v>43</x:v>
      </x:c>
      <x:c r="E235" t="str">
        <x:v>L’IMPARFAIT</x:v>
      </x:c>
      <x:c r="F235" t="str">
        <x:v>Changement vs habitude</x:v>
      </x:c>
      <x:c r="G235" t="str">
        <x:v>تغییر در برابر عادت</x:v>
      </x:c>
      <x:c r="H235" t="str">
        <x:v>imparfait وضعیت/عادت قبلی و passé composé نقطهٔ تغییر را بیان می‌کند.</x:v>
      </x:c>
      <x:c r="I235" t="str">
        <x:v>Lesson 43; printed p. 210</x:v>
      </x:c>
      <x:c r="J235" t="str">
        <x:v>stage1-v1.0</x:v>
      </x:c>
    </x:row>
    <x:row r="236">
      <x:c r="A236" t="str">
        <x:v>75c52476-0ac0-4edd-997b-e59d7c3bdafe</x:v>
      </x:c>
      <x:c r="B236" t="str">
        <x:v>L44-S01</x:v>
      </x:c>
      <x:c r="C236" t="str">
        <x:v>7b460b08-fac3-4f7c-bec0-0e1863fbcca3</x:v>
      </x:c>
      <x:c r="D236" t="str">
        <x:v>44</x:v>
      </x:c>
      <x:c r="E236" t="str">
        <x:v>LE PLUS-QUE-PARFAIT</x:v>
      </x:c>
      <x:c r="F236" t="str">
        <x:v>Antériorité dans le passé</x:v>
      </x:c>
      <x:c r="G236" t="str">
        <x:v>پیشینگی در گذشته</x:v>
      </x:c>
      <x:c r="H236" t="str">
        <x:v>plus-que-parfait رویدادی را نشان می‌دهد که پیش از رویداد دیگری در گذشته رخ داده است.</x:v>
      </x:c>
      <x:c r="I236" t="str">
        <x:v>Lesson 44; printed p. 214</x:v>
      </x:c>
      <x:c r="J236" t="str">
        <x:v>stage1-v1.0</x:v>
      </x:c>
    </x:row>
    <x:row r="237">
      <x:c r="A237" t="str">
        <x:v>17522220-c62c-4b8e-a0a6-2c64e5c1923c</x:v>
      </x:c>
      <x:c r="B237" t="str">
        <x:v>L44-S02</x:v>
      </x:c>
      <x:c r="C237" t="str">
        <x:v>7b460b08-fac3-4f7c-bec0-0e1863fbcca3</x:v>
      </x:c>
      <x:c r="D237" t="str">
        <x:v>44</x:v>
      </x:c>
      <x:c r="E237" t="str">
        <x:v>LE PLUS-QUE-PARFAIT</x:v>
      </x:c>
      <x:c r="F237" t="str">
        <x:v>Formation du plus-que-parfait</x:v>
      </x:c>
      <x:c r="G237" t="str">
        <x:v>ساخت plus-que-parfait</x:v>
      </x:c>
      <x:c r="H237" t="str">
        <x:v>être/avoir در imparfait + participe passé.</x:v>
      </x:c>
      <x:c r="I237" t="str">
        <x:v>Lesson 44; printed p. 214</x:v>
      </x:c>
      <x:c r="J237" t="str">
        <x:v>stage1-v1.0</x:v>
      </x:c>
    </x:row>
    <x:row r="238">
      <x:c r="A238" t="str">
        <x:v>1822c46b-4b9c-4907-8ed0-5aa25700f554</x:v>
      </x:c>
      <x:c r="B238" t="str">
        <x:v>L44-S03</x:v>
      </x:c>
      <x:c r="C238" t="str">
        <x:v>7b460b08-fac3-4f7c-bec0-0e1863fbcca3</x:v>
      </x:c>
      <x:c r="D238" t="str">
        <x:v>44</x:v>
      </x:c>
      <x:c r="E238" t="str">
        <x:v>LE PLUS-QUE-PARFAIT</x:v>
      </x:c>
      <x:c r="F238" t="str">
        <x:v>Système des temps du passé</x:v>
      </x:c>
      <x:c r="G238" t="str">
        <x:v>سامانهٔ زمان‌های گذشته</x:v>
      </x:c>
      <x:c r="H238" t="str">
        <x:v>plus-que-parfait = قبل از نقطهٔ گذشته؛ imparfait = هم‌زمان/در جریان؛ passé composé = رویداد/بعد.</x:v>
      </x:c>
      <x:c r="I238" t="str">
        <x:v>Lesson 44; printed p. 214</x:v>
      </x:c>
      <x:c r="J238" t="str">
        <x:v>stage1-v1.0</x:v>
      </x:c>
    </x:row>
    <x:row r="239">
      <x:c r="A239" t="str">
        <x:v>2bb81df8-f2d0-4bde-9f45-6afa495e7ef1</x:v>
      </x:c>
      <x:c r="B239" t="str">
        <x:v>L45-S01</x:v>
      </x:c>
      <x:c r="C239" t="str">
        <x:v>ea5e63b4-af5e-438a-b50c-a3d9678296b6</x:v>
      </x:c>
      <x:c r="D239" t="str">
        <x:v>45</x:v>
      </x:c>
      <x:c r="E239" t="str">
        <x:v>LE DISCOURS INDIRECT au PASSÉ</x:v>
      </x:c>
      <x:c r="F239" t="str">
        <x:v>Concordance des temps</x:v>
      </x:c>
      <x:c r="G239" t="str">
        <x:v>هماهنگی زمان‌ها در نقل گذشته</x:v>
      </x:c>
      <x:c r="H239" t="str">
        <x:v>پس از فعل گزارش‌دهندهٔ گذشته، زمان وابسته معمولاً یک مرحله به گذشته منتقل می‌شود.</x:v>
      </x:c>
      <x:c r="I239" t="str">
        <x:v>Lesson 45; printed p. 216</x:v>
      </x:c>
      <x:c r="J239" t="str">
        <x:v>stage1-v1.0</x:v>
      </x:c>
    </x:row>
    <x:row r="240">
      <x:c r="A240" t="str">
        <x:v>18cc95f9-3856-433d-8ba7-b04815d552f4</x:v>
      </x:c>
      <x:c r="B240" t="str">
        <x:v>L45-S02</x:v>
      </x:c>
      <x:c r="C240" t="str">
        <x:v>ea5e63b4-af5e-438a-b50c-a3d9678296b6</x:v>
      </x:c>
      <x:c r="D240" t="str">
        <x:v>45</x:v>
      </x:c>
      <x:c r="E240" t="str">
        <x:v>LE DISCOURS INDIRECT au PASSÉ</x:v>
      </x:c>
      <x:c r="F240" t="str">
        <x:v>Imparfait de concordance</x:v>
      </x:c>
      <x:c r="G240" t="str">
        <x:v>imparfait توافقی</x:v>
      </x:c>
      <x:c r="H240" t="str">
        <x:v>imparfait در نقل غیرمستقیم می‌تواند فقط نتیجهٔ concordance باشد، نه گذشتهٔ واقعی.</x:v>
      </x:c>
      <x:c r="I240" t="str">
        <x:v>Lesson 45; printed p. 216</x:v>
      </x:c>
      <x:c r="J240" t="str">
        <x:v>stage1-v1.0</x:v>
      </x:c>
    </x:row>
    <x:row r="241">
      <x:c r="A241" t="str">
        <x:v>38d1a335-1b8c-4dd8-ab97-fdcf01efe719</x:v>
      </x:c>
      <x:c r="B241" t="str">
        <x:v>L45-S03</x:v>
      </x:c>
      <x:c r="C241" t="str">
        <x:v>ea5e63b4-af5e-438a-b50c-a3d9678296b6</x:v>
      </x:c>
      <x:c r="D241" t="str">
        <x:v>45</x:v>
      </x:c>
      <x:c r="E241" t="str">
        <x:v>LE DISCOURS INDIRECT au PASSÉ</x:v>
      </x:c>
      <x:c r="F241" t="str">
        <x:v>Verbe principal « dire » vs « croire/penser »</x:v>
      </x:c>
      <x:c r="G241" t="str">
        <x:v>زمان فعل گزارش‌دهنده</x:v>
      </x:c>
      <x:c r="H241" t="str">
        <x:v>در روایت گذشته، dire اغلب passé composé و croire/penser برای وضعیت ذهنی اغلب imparfait می‌آیند.</x:v>
      </x:c>
      <x:c r="I241" t="str">
        <x:v>Lesson 45; printed p. 216</x:v>
      </x:c>
      <x:c r="J241" t="str">
        <x:v>stage1-v1.0</x:v>
      </x:c>
    </x:row>
    <x:row r="242">
      <x:c r="A242" t="str">
        <x:v>47140a4e-4054-4aa7-a022-d692da727d6a</x:v>
      </x:c>
      <x:c r="B242" t="str">
        <x:v>L45-S04</x:v>
      </x:c>
      <x:c r="C242" t="str">
        <x:v>ea5e63b4-af5e-438a-b50c-a3d9678296b6</x:v>
      </x:c>
      <x:c r="D242" t="str">
        <x:v>45</x:v>
      </x:c>
      <x:c r="E242" t="str">
        <x:v>LE DISCOURS INDIRECT au PASSÉ</x:v>
      </x:c>
      <x:c r="F242" t="str">
        <x:v>Non-application possible de la concordance</x:v>
      </x:c>
      <x:c r="G242" t="str">
        <x:v>حفظ زمان در حقیقت تازه</x:v>
      </x:c>
      <x:c r="H242" t="str">
        <x:v>گاهی برای نتیجه/حقیقت تازه و هنوز معتبر، concordance اعمال نمی‌شود.</x:v>
      </x:c>
      <x:c r="I242" t="str">
        <x:v>Lesson 45; printed p. 216</x:v>
      </x:c>
      <x:c r="J242" t="str">
        <x:v>stage1-v1.0</x:v>
      </x:c>
    </x:row>
    <x:row r="243">
      <x:c r="A243" t="str">
        <x:v>2bfb1f2c-b935-40ee-99fb-9eccbed31b60</x:v>
      </x:c>
      <x:c r="B243" t="str">
        <x:v>L46-S01</x:v>
      </x:c>
      <x:c r="C243" t="str">
        <x:v>fa21c54c-eda9-434c-9b4c-af896a3dfde0</x:v>
      </x:c>
      <x:c r="D243" t="str">
        <x:v>46</x:v>
      </x:c>
      <x:c r="E243" t="str">
        <x:v>« VENIR de », « ÊTRE en TRAIN de », « ÊTRE sur le POINT de »</x:v>
      </x:c>
      <x:c r="F243" t="str">
        <x:v>« venir de + infinitif »</x:v>
      </x:c>
      <x:c r="G243" t="str">
        <x:v>گذشتهٔ نزدیک</x:v>
      </x:c>
      <x:c r="H243" t="str">
        <x:v>venir de + infinitif عملی را نشان می‌دهد که همین اواخر تمام شده است.</x:v>
      </x:c>
      <x:c r="I243" t="str">
        <x:v>Lesson 46; printed p. 222</x:v>
      </x:c>
      <x:c r="J243" t="str">
        <x:v>stage1-v1.0</x:v>
      </x:c>
    </x:row>
    <x:row r="244">
      <x:c r="A244" t="str">
        <x:v>7e05dfd4-95e4-4321-83fb-2816a8d0b30e</x:v>
      </x:c>
      <x:c r="B244" t="str">
        <x:v>L46-S02</x:v>
      </x:c>
      <x:c r="C244" t="str">
        <x:v>fa21c54c-eda9-434c-9b4c-af896a3dfde0</x:v>
      </x:c>
      <x:c r="D244" t="str">
        <x:v>46</x:v>
      </x:c>
      <x:c r="E244" t="str">
        <x:v>« VENIR de », « ÊTRE en TRAIN de », « ÊTRE sur le POINT de »</x:v>
      </x:c>
      <x:c r="F244" t="str">
        <x:v>« être en train de + infinitif »</x:v>
      </x:c>
      <x:c r="G244" t="str">
        <x:v>عمل در حال انجام</x:v>
      </x:c>
      <x:c r="H244" t="str">
        <x:v>être en train de + infinitif بر جاری‌بودن عمل تأکید می‌کند.</x:v>
      </x:c>
      <x:c r="I244" t="str">
        <x:v>Lesson 46; printed p. 222</x:v>
      </x:c>
      <x:c r="J244" t="str">
        <x:v>stage1-v1.0</x:v>
      </x:c>
    </x:row>
    <x:row r="245">
      <x:c r="A245" t="str">
        <x:v>d98ac175-ec8e-41e0-9452-5dfc461916a6</x:v>
      </x:c>
      <x:c r="B245" t="str">
        <x:v>L46-S03</x:v>
      </x:c>
      <x:c r="C245" t="str">
        <x:v>fa21c54c-eda9-434c-9b4c-af896a3dfde0</x:v>
      </x:c>
      <x:c r="D245" t="str">
        <x:v>46</x:v>
      </x:c>
      <x:c r="E245" t="str">
        <x:v>« VENIR de », « ÊTRE en TRAIN de », « ÊTRE sur le POINT de »</x:v>
      </x:c>
      <x:c r="F245" t="str">
        <x:v>« être sur le point de + infinitif »</x:v>
      </x:c>
      <x:c r="G245" t="str">
        <x:v>عمل قریب‌الوقوع</x:v>
      </x:c>
      <x:c r="H245" t="str">
        <x:v>این ساخت عملی را بیان می‌کند که در آستانهٔ وقوع است.</x:v>
      </x:c>
      <x:c r="I245" t="str">
        <x:v>Lesson 46; printed p. 222</x:v>
      </x:c>
      <x:c r="J245" t="str">
        <x:v>stage1-v1.0</x:v>
      </x:c>
    </x:row>
    <x:row r="246">
      <x:c r="A246" t="str">
        <x:v>1cb1de26-6a3e-4408-94fd-dfedde3f92f6</x:v>
      </x:c>
      <x:c r="B246" t="str">
        <x:v>L47-S01</x:v>
      </x:c>
      <x:c r="C246" t="str">
        <x:v>9452d2bf-3b54-4cbe-9410-2a607d9d9903</x:v>
      </x:c>
      <x:c r="D246" t="str">
        <x:v>47</x:v>
      </x:c>
      <x:c r="E246" t="str">
        <x:v>LE FUTUR SIMPLE</x:v>
      </x:c>
      <x:c r="F246" t="str">
        <x:v>Usage du futur simple</x:v>
      </x:c>
      <x:c r="G246" t="str">
        <x:v>کاربرد futur simple</x:v>
      </x:c>
      <x:c r="H246" t="str">
        <x:v>futur simple برای پروژه‌های آینده و پیش‌بینی‌ها به‌کار می‌رود.</x:v>
      </x:c>
      <x:c r="I246" t="str">
        <x:v>Lesson 47; printed p. 224</x:v>
      </x:c>
      <x:c r="J246" t="str">
        <x:v>stage1-v1.0</x:v>
      </x:c>
    </x:row>
    <x:row r="247">
      <x:c r="A247" t="str">
        <x:v>530bcde1-b664-4451-9182-18926c79db11</x:v>
      </x:c>
      <x:c r="B247" t="str">
        <x:v>L47-S02</x:v>
      </x:c>
      <x:c r="C247" t="str">
        <x:v>9452d2bf-3b54-4cbe-9410-2a607d9d9903</x:v>
      </x:c>
      <x:c r="D247" t="str">
        <x:v>47</x:v>
      </x:c>
      <x:c r="E247" t="str">
        <x:v>LE FUTUR SIMPLE</x:v>
      </x:c>
      <x:c r="F247" t="str">
        <x:v>Formation régulière</x:v>
      </x:c>
      <x:c r="G247" t="str">
        <x:v>ساخت منظم futur simple</x:v>
      </x:c>
      <x:c r="H247" t="str">
        <x:v>مصدر + ai, as, a, ons, ez, ont؛ در مصادر پایان‌یافته به -e، e حذف می‌شود.</x:v>
      </x:c>
      <x:c r="I247" t="str">
        <x:v>Lesson 47; printed p. 224</x:v>
      </x:c>
      <x:c r="J247" t="str">
        <x:v>stage1-v1.0</x:v>
      </x:c>
    </x:row>
    <x:row r="248">
      <x:c r="A248" t="str">
        <x:v>da04d77f-6116-4177-9914-703954f7a988</x:v>
      </x:c>
      <x:c r="B248" t="str">
        <x:v>L47-S03</x:v>
      </x:c>
      <x:c r="C248" t="str">
        <x:v>9452d2bf-3b54-4cbe-9410-2a607d9d9903</x:v>
      </x:c>
      <x:c r="D248" t="str">
        <x:v>47</x:v>
      </x:c>
      <x:c r="E248" t="str">
        <x:v>LE FUTUR SIMPLE</x:v>
      </x:c>
      <x:c r="F248" t="str">
        <x:v>Radicaux irréguliers</x:v>
      </x:c>
      <x:c r="G248" t="str">
        <x:v>ریشه‌های نامنظم futur</x:v>
      </x:c>
      <x:c r="H248" t="str">
        <x:v>ser-, aur-, ir-, fer-, devr-, verr-, enverr-, viendr-, recevr-, pourr-, saur-, courr- و چند ریشهٔ خاص باید حفظ شوند.</x:v>
      </x:c>
      <x:c r="I248" t="str">
        <x:v>Lesson 47; printed p. 224</x:v>
      </x:c>
      <x:c r="J248" t="str">
        <x:v>stage1-v1.0</x:v>
      </x:c>
    </x:row>
    <x:row r="249">
      <x:c r="A249" t="str">
        <x:v>539e80d3-680c-4667-a442-e4d2341ab223</x:v>
      </x:c>
      <x:c r="B249" t="str">
        <x:v>L47-S04</x:v>
      </x:c>
      <x:c r="C249" t="str">
        <x:v>9452d2bf-3b54-4cbe-9410-2a607d9d9903</x:v>
      </x:c>
      <x:c r="D249" t="str">
        <x:v>47</x:v>
      </x:c>
      <x:c r="E249" t="str">
        <x:v>LE FUTUR SIMPLE</x:v>
      </x:c>
      <x:c r="F249" t="str">
        <x:v>Futur proche: changement vs futur simple: programmation</x:v>
      </x:c>
      <x:c r="G249" t="str">
        <x:v>تغییر در برابر برنامه‌ریزی</x:v>
      </x:c>
      <x:c r="H249" t="str">
        <x:v>کتاب futur proche را اغلب برای تغییر و futur simple را برای برنامه/پیامد تنظیم‌شده‌تر مقایسه می‌کند.</x:v>
      </x:c>
      <x:c r="I249" t="str">
        <x:v>Lesson 47; printed p. 226</x:v>
      </x:c>
      <x:c r="J249" t="str">
        <x:v>stage1-v1.0</x:v>
      </x:c>
    </x:row>
    <x:row r="250">
      <x:c r="A250" t="str">
        <x:v>75612fed-7108-4cce-b4e2-8172ca8c618f</x:v>
      </x:c>
      <x:c r="B250" t="str">
        <x:v>L47-S05</x:v>
      </x:c>
      <x:c r="C250" t="str">
        <x:v>9452d2bf-3b54-4cbe-9410-2a607d9d9903</x:v>
      </x:c>
      <x:c r="D250" t="str">
        <x:v>47</x:v>
      </x:c>
      <x:c r="E250" t="str">
        <x:v>LE FUTUR SIMPLE</x:v>
      </x:c>
      <x:c r="F250" t="str">
        <x:v>Oral vs écrit</x:v>
      </x:c>
      <x:c r="G250" t="str">
        <x:v>گفتار و نوشتار</x:v>
      </x:c>
      <x:c r="H250" t="str">
        <x:v>در گفتار futur proche معمولاً پویاتر و رایج‌تر و در نوشتار futur simple فشرده‌تر است.</x:v>
      </x:c>
      <x:c r="I250" t="str">
        <x:v>Lesson 47; printed p. 226</x:v>
      </x:c>
      <x:c r="J250" t="str">
        <x:v>stage1-v1.0</x:v>
      </x:c>
    </x:row>
    <x:row r="251">
      <x:c r="A251" t="str">
        <x:v>86f4613d-5a64-4336-bf0f-715616f0249c</x:v>
      </x:c>
      <x:c r="B251" t="str">
        <x:v>L47-S06</x:v>
      </x:c>
      <x:c r="C251" t="str">
        <x:v>9452d2bf-3b54-4cbe-9410-2a607d9d9903</x:v>
      </x:c>
      <x:c r="D251" t="str">
        <x:v>47</x:v>
      </x:c>
      <x:c r="E251" t="str">
        <x:v>LE FUTUR SIMPLE</x:v>
      </x:c>
      <x:c r="F251" t="str">
        <x:v>Après « quand/pendant que/j’espère que »</x:v>
      </x:c>
      <x:c r="G251" t="str">
        <x:v>آینده پس از quand و مشابه</x:v>
      </x:c>
      <x:c r="H251" t="str">
        <x:v>وقتی بندها دربارهٔ آینده‌اند، futur simple پس از quand/pendant que/j’espère que به‌کار می‌رود.</x:v>
      </x:c>
      <x:c r="I251" t="str">
        <x:v>Lesson 47; printed p. 226</x:v>
      </x:c>
      <x:c r="J251" t="str">
        <x:v>stage1-v1.0</x:v>
      </x:c>
    </x:row>
    <x:row r="252">
      <x:c r="A252" t="str">
        <x:v>0c9def43-b0f6-43b8-a640-30748984524f</x:v>
      </x:c>
      <x:c r="B252" t="str">
        <x:v>L47-S07</x:v>
      </x:c>
      <x:c r="C252" t="str">
        <x:v>9452d2bf-3b54-4cbe-9410-2a607d9d9903</x:v>
      </x:c>
      <x:c r="D252" t="str">
        <x:v>47</x:v>
      </x:c>
      <x:c r="E252" t="str">
        <x:v>LE FUTUR SIMPLE</x:v>
      </x:c>
      <x:c r="F252" t="str">
        <x:v>Futur simple dans hypothèse future</x:v>
      </x:c>
      <x:c r="G252" t="str">
        <x:v>futur در فرض آینده</x:v>
      </x:c>
      <x:c r="H252" t="str">
        <x:v>در فرض آینده، جملهٔ نتیجه با futur simple می‌آید.</x:v>
      </x:c>
      <x:c r="I252" t="str">
        <x:v>Lesson 47; printed p. 226</x:v>
      </x:c>
      <x:c r="J252" t="str">
        <x:v>stage1-v1.0</x:v>
      </x:c>
    </x:row>
    <x:row r="253">
      <x:c r="A253" t="str">
        <x:v>be5655fc-1793-4aea-9d26-21ea180a81a2</x:v>
      </x:c>
      <x:c r="B253" t="str">
        <x:v>L48-S01</x:v>
      </x:c>
      <x:c r="C253" t="str">
        <x:v>c8b25314-e54b-4ec5-9a31-41e6af6cfab4</x:v>
      </x:c>
      <x:c r="D253" t="str">
        <x:v>48</x:v>
      </x:c>
      <x:c r="E253" t="str">
        <x:v>LE FUTUR ANTÉRIEUR</x:v>
      </x:c>
      <x:c r="F253" t="str">
        <x:v>Antériorité dans le futur</x:v>
      </x:c>
      <x:c r="G253" t="str">
        <x:v>پیشینگی در آینده</x:v>
      </x:c>
      <x:c r="H253" t="str">
        <x:v>futur antérieur رویدادی را نشان می‌دهد که پیش از رویداد دیگری در آینده کامل می‌شود.</x:v>
      </x:c>
      <x:c r="I253" t="str">
        <x:v>Lesson 48; printed p. 228</x:v>
      </x:c>
      <x:c r="J253" t="str">
        <x:v>stage1-v1.0</x:v>
      </x:c>
    </x:row>
    <x:row r="254">
      <x:c r="A254" t="str">
        <x:v>261fd0e7-6ee8-4916-aa81-07ff7b635708</x:v>
      </x:c>
      <x:c r="B254" t="str">
        <x:v>L48-S02</x:v>
      </x:c>
      <x:c r="C254" t="str">
        <x:v>c8b25314-e54b-4ec5-9a31-41e6af6cfab4</x:v>
      </x:c>
      <x:c r="D254" t="str">
        <x:v>48</x:v>
      </x:c>
      <x:c r="E254" t="str">
        <x:v>LE FUTUR ANTÉRIEUR</x:v>
      </x:c>
      <x:c r="F254" t="str">
        <x:v>Formation du futur antérieur</x:v>
      </x:c>
      <x:c r="G254" t="str">
        <x:v>ساخت futur antérieur</x:v>
      </x:c>
      <x:c r="H254" t="str">
        <x:v>être/avoir در futur simple + participe passé.</x:v>
      </x:c>
      <x:c r="I254" t="str">
        <x:v>Lesson 48; printed p. 228</x:v>
      </x:c>
      <x:c r="J254" t="str">
        <x:v>stage1-v1.0</x:v>
      </x:c>
    </x:row>
    <x:row r="255">
      <x:c r="A255" t="str">
        <x:v>52a4dc69-09ec-418f-a951-1ed75534dbd3</x:v>
      </x:c>
      <x:c r="B255" t="str">
        <x:v>L48-S03</x:v>
      </x:c>
      <x:c r="C255" t="str">
        <x:v>c8b25314-e54b-4ec5-9a31-41e6af6cfab4</x:v>
      </x:c>
      <x:c r="D255" t="str">
        <x:v>48</x:v>
      </x:c>
      <x:c r="E255" t="str">
        <x:v>LE FUTUR ANTÉRIEUR</x:v>
      </x:c>
      <x:c r="F255" t="str">
        <x:v>Résumé des temps de l’indicatif</x:v>
      </x:c>
      <x:c r="G255" t="str">
        <x:v>خلاصهٔ زمان‌های indicatif</x:v>
      </x:c>
      <x:c r="H255" t="str">
        <x:v>کتاب زمان‌های ساده را برای وضعیت/عادت و زمان‌های مرکب را برای تغییر/گسست روی محور زمانی مقایسه می‌کند.</x:v>
      </x:c>
      <x:c r="I255" t="str">
        <x:v>Lesson 48; printed p. 228</x:v>
      </x:c>
      <x:c r="J255" t="str">
        <x:v>stage1-v1.0</x:v>
      </x:c>
    </x:row>
    <x:row r="256">
      <x:c r="A256" t="str">
        <x:v>81b6851f-51be-4653-ba60-d5683d58c26a</x:v>
      </x:c>
      <x:c r="B256" t="str">
        <x:v>L49-S01</x:v>
      </x:c>
      <x:c r="C256" t="str">
        <x:v>8492c636-b6f3-4368-97df-c4e0387ff946</x:v>
      </x:c>
      <x:c r="D256" t="str">
        <x:v>49</x:v>
      </x:c>
      <x:c r="E256" t="str">
        <x:v>LE CONDITIONNEL (2)</x:v>
      </x:c>
      <x:c r="F256" t="str">
        <x:v>Conditionnel présent: imaginaire</x:v>
      </x:c>
      <x:c r="G256" t="str">
        <x:v>conditionnel و خیال</x:v>
      </x:c>
      <x:c r="H256" t="str">
        <x:v>conditionnel برای تصور واقعیتی دیگر/غیرواقعی استفاده می‌شود.</x:v>
      </x:c>
      <x:c r="I256" t="str">
        <x:v>Lesson 49; printed p. 230</x:v>
      </x:c>
      <x:c r="J256" t="str">
        <x:v>stage1-v1.0</x:v>
      </x:c>
    </x:row>
    <x:row r="257">
      <x:c r="A257" t="str">
        <x:v>fc788975-f7e3-4559-9330-2c6d2f695092</x:v>
      </x:c>
      <x:c r="B257" t="str">
        <x:v>L49-S02</x:v>
      </x:c>
      <x:c r="C257" t="str">
        <x:v>8492c636-b6f3-4368-97df-c4e0387ff946</x:v>
      </x:c>
      <x:c r="D257" t="str">
        <x:v>49</x:v>
      </x:c>
      <x:c r="E257" t="str">
        <x:v>LE CONDITIONNEL (2)</x:v>
      </x:c>
      <x:c r="F257" t="str">
        <x:v>« au cas où » + conditionnel</x:v>
      </x:c>
      <x:c r="G257" t="str">
        <x:v>au cas où</x:v>
      </x:c>
      <x:c r="H257" t="str">
        <x:v>au cas où یک فرض احتیاطی/احتمالی را معرفی می‌کند و conditionnel می‌گیرد.</x:v>
      </x:c>
      <x:c r="I257" t="str">
        <x:v>Lesson 49; printed p. 230</x:v>
      </x:c>
      <x:c r="J257" t="str">
        <x:v>stage1-v1.0</x:v>
      </x:c>
    </x:row>
    <x:row r="258">
      <x:c r="A258" t="str">
        <x:v>6ba9813e-648b-42a2-9f89-b04fc2714b5c</x:v>
      </x:c>
      <x:c r="B258" t="str">
        <x:v>L49-S03</x:v>
      </x:c>
      <x:c r="C258" t="str">
        <x:v>8492c636-b6f3-4368-97df-c4e0387ff946</x:v>
      </x:c>
      <x:c r="D258" t="str">
        <x:v>49</x:v>
      </x:c>
      <x:c r="E258" t="str">
        <x:v>LE CONDITIONNEL (2)</x:v>
      </x:c>
      <x:c r="F258" t="str">
        <x:v>Information non confirmée</x:v>
      </x:c>
      <x:c r="G258" t="str">
        <x:v>اطلاعات تأییدنشده</x:v>
      </x:c>
      <x:c r="H258" t="str">
        <x:v>conditionnel می‌تواند برای گزارش اطلاعات غیرقطعی/تأییدنشده استفاده شود.</x:v>
      </x:c>
      <x:c r="I258" t="str">
        <x:v>Lesson 49; printed p. 230</x:v>
      </x:c>
      <x:c r="J258" t="str">
        <x:v>stage1-v1.0</x:v>
      </x:c>
    </x:row>
    <x:row r="259">
      <x:c r="A259" t="str">
        <x:v>292c09ff-e1c7-4605-89fe-ad91f8ed1045</x:v>
      </x:c>
      <x:c r="B259" t="str">
        <x:v>L49-S04</x:v>
      </x:c>
      <x:c r="C259" t="str">
        <x:v>8492c636-b6f3-4368-97df-c4e0387ff946</x:v>
      </x:c>
      <x:c r="D259" t="str">
        <x:v>49</x:v>
      </x:c>
      <x:c r="E259" t="str">
        <x:v>LE CONDITIONNEL (2)</x:v>
      </x:c>
      <x:c r="F259" t="str">
        <x:v>Regret au conditionnel passé</x:v>
      </x:c>
      <x:c r="G259" t="str">
        <x:v>حسرت</x:v>
      </x:c>
      <x:c r="H259" t="str">
        <x:v>conditionnel passé برای کاری که بهتر بود انجام می‌شد/نمی‌شد به‌کار می‌رود.</x:v>
      </x:c>
      <x:c r="I259" t="str">
        <x:v>Lesson 49; printed p. 230</x:v>
      </x:c>
      <x:c r="J259" t="str">
        <x:v>stage1-v1.0</x:v>
      </x:c>
    </x:row>
    <x:row r="260">
      <x:c r="A260" t="str">
        <x:v>539b6b8e-7a76-4fd3-bd31-b45a4184b029</x:v>
      </x:c>
      <x:c r="B260" t="str">
        <x:v>L49-S05</x:v>
      </x:c>
      <x:c r="C260" t="str">
        <x:v>8492c636-b6f3-4368-97df-c4e0387ff946</x:v>
      </x:c>
      <x:c r="D260" t="str">
        <x:v>49</x:v>
      </x:c>
      <x:c r="E260" t="str">
        <x:v>LE CONDITIONNEL (2)</x:v>
      </x:c>
      <x:c r="F260" t="str">
        <x:v>Formation du conditionnel présent</x:v>
      </x:c>
      <x:c r="G260" t="str">
        <x:v>ساخت conditionnel présent</x:v>
      </x:c>
      <x:c r="H260" t="str">
        <x:v>ریشهٔ futur + پایان‌های imparfait.</x:v>
      </x:c>
      <x:c r="I260" t="str">
        <x:v>Lesson 49; printed p. 230</x:v>
      </x:c>
      <x:c r="J260" t="str">
        <x:v>stage1-v1.0</x:v>
      </x:c>
    </x:row>
    <x:row r="261">
      <x:c r="A261" t="str">
        <x:v>c0c0c51c-0bbb-4a73-9a8e-f94c9e1f5e9d</x:v>
      </x:c>
      <x:c r="B261" t="str">
        <x:v>L49-S06</x:v>
      </x:c>
      <x:c r="C261" t="str">
        <x:v>8492c636-b6f3-4368-97df-c4e0387ff946</x:v>
      </x:c>
      <x:c r="D261" t="str">
        <x:v>49</x:v>
      </x:c>
      <x:c r="E261" t="str">
        <x:v>LE CONDITIONNEL (2)</x:v>
      </x:c>
      <x:c r="F261" t="str">
        <x:v>Formation du conditionnel passé</x:v>
      </x:c>
      <x:c r="G261" t="str">
        <x:v>ساخت conditionnel passé</x:v>
      </x:c>
      <x:c r="H261" t="str">
        <x:v>être/avoir در conditionnel présent + participe passé.</x:v>
      </x:c>
      <x:c r="I261" t="str">
        <x:v>Lesson 49; printed p. 230</x:v>
      </x:c>
      <x:c r="J261" t="str">
        <x:v>stage1-v1.0</x:v>
      </x:c>
    </x:row>
    <x:row r="262">
      <x:c r="A262" t="str">
        <x:v>c45beaae-cca3-4a1a-91f8-a6c197c8ea1e</x:v>
      </x:c>
      <x:c r="B262" t="str">
        <x:v>L50-S01</x:v>
      </x:c>
      <x:c r="C262" t="str">
        <x:v>7292614b-ad5b-496f-836e-1ca257cb80cc</x:v>
      </x:c>
      <x:c r="D262" t="str">
        <x:v>50</x:v>
      </x:c>
      <x:c r="E262" t="str">
        <x:v>LES HYPOTHÈSES</x:v>
      </x:c>
      <x:c r="F262" t="str">
        <x:v>Hypothèse certaine: « quand + futur »</x:v>
      </x:c>
      <x:c r="G262" t="str">
        <x:v>قطعیت آینده با quand</x:v>
      </x:c>
      <x:c r="H262" t="str">
        <x:v>وقتی رویداد آینده قطعی فرض می‌شود، quand + futur و futur در نتیجه می‌آید.</x:v>
      </x:c>
      <x:c r="I262" t="str">
        <x:v>Lesson 50; printed p. 232</x:v>
      </x:c>
      <x:c r="J262" t="str">
        <x:v>stage1-v1.0</x:v>
      </x:c>
    </x:row>
    <x:row r="263">
      <x:c r="A263" t="str">
        <x:v>49ddd659-dab2-4134-87a0-a46b09fca81c</x:v>
      </x:c>
      <x:c r="B263" t="str">
        <x:v>L50-S02</x:v>
      </x:c>
      <x:c r="C263" t="str">
        <x:v>7292614b-ad5b-496f-836e-1ca257cb80cc</x:v>
      </x:c>
      <x:c r="D263" t="str">
        <x:v>50</x:v>
      </x:c>
      <x:c r="E263" t="str">
        <x:v>LES HYPOTHÈSES</x:v>
      </x:c>
      <x:c r="F263" t="str">
        <x:v>Hypothèse sur le futur: « si + présent → futur »</x:v>
      </x:c>
      <x:c r="G263" t="str">
        <x:v>فرض آینده</x:v>
      </x:c>
      <x:c r="H263" t="str">
        <x:v>برای فرض احتمالی آینده: si + présent و نتیجه futur simple.</x:v>
      </x:c>
      <x:c r="I263" t="str">
        <x:v>Lesson 50; printed p. 232</x:v>
      </x:c>
      <x:c r="J263" t="str">
        <x:v>stage1-v1.0</x:v>
      </x:c>
    </x:row>
    <x:row r="264">
      <x:c r="A264" t="str">
        <x:v>7324d745-fd6a-4b04-b729-952bd3177e49</x:v>
      </x:c>
      <x:c r="B264" t="str">
        <x:v>L50-S03</x:v>
      </x:c>
      <x:c r="C264" t="str">
        <x:v>7292614b-ad5b-496f-836e-1ca257cb80cc</x:v>
      </x:c>
      <x:c r="D264" t="str">
        <x:v>50</x:v>
      </x:c>
      <x:c r="E264" t="str">
        <x:v>LES HYPOTHÈSES</x:v>
      </x:c>
      <x:c r="F264" t="str">
        <x:v>« si » interrogatif vs hypothétique</x:v>
      </x:c>
      <x:c r="G264" t="str">
        <x:v>si پرسشی/شرطی</x:v>
      </x:c>
      <x:c r="H264" t="str">
        <x:v>si فرضی با si نقل پرسش بله/خیر یکسان نیست.</x:v>
      </x:c>
      <x:c r="I264" t="str">
        <x:v>Lesson 50; printed p. 232</x:v>
      </x:c>
      <x:c r="J264" t="str">
        <x:v>stage1-v1.0</x:v>
      </x:c>
    </x:row>
    <x:row r="265">
      <x:c r="A265" t="str">
        <x:v>5418211e-24f0-4b50-93c8-c2e1e96a9a2b</x:v>
      </x:c>
      <x:c r="B265" t="str">
        <x:v>L50-S04</x:v>
      </x:c>
      <x:c r="C265" t="str">
        <x:v>7292614b-ad5b-496f-836e-1ca257cb80cc</x:v>
      </x:c>
      <x:c r="D265" t="str">
        <x:v>50</x:v>
      </x:c>
      <x:c r="E265" t="str">
        <x:v>LES HYPOTHÈSES</x:v>
      </x:c>
      <x:c r="F265" t="str">
        <x:v>Généralité: « si + présent/présent »</x:v>
      </x:c>
      <x:c r="G265" t="str">
        <x:v>حقیقت عمومی با si</x:v>
      </x:c>
      <x:c r="H265" t="str">
        <x:v>برای رابطهٔ عمومی/عادتی: si + présent، présent.</x:v>
      </x:c>
      <x:c r="I265" t="str">
        <x:v>Lesson 50; printed p. 232</x:v>
      </x:c>
      <x:c r="J265" t="str">
        <x:v>stage1-v1.0</x:v>
      </x:c>
    </x:row>
    <x:row r="266">
      <x:c r="A266" t="str">
        <x:v>75429c23-a1ff-40f2-a518-1a36346fcf5a</x:v>
      </x:c>
      <x:c r="B266" t="str">
        <x:v>L50-S05</x:v>
      </x:c>
      <x:c r="C266" t="str">
        <x:v>7292614b-ad5b-496f-836e-1ca257cb80cc</x:v>
      </x:c>
      <x:c r="D266" t="str">
        <x:v>50</x:v>
      </x:c>
      <x:c r="E266" t="str">
        <x:v>LES HYPOTHÈSES</x:v>
      </x:c>
      <x:c r="F266" t="str">
        <x:v>Recommandation: « si + présent/impératif »</x:v>
      </x:c>
      <x:c r="G266" t="str">
        <x:v>توصیه با si</x:v>
      </x:c>
      <x:c r="H266" t="str">
        <x:v>برای توصیه: si + présent و impératif در نتیجه.</x:v>
      </x:c>
      <x:c r="I266" t="str">
        <x:v>Lesson 50; printed p. 232</x:v>
      </x:c>
      <x:c r="J266" t="str">
        <x:v>stage1-v1.0</x:v>
      </x:c>
    </x:row>
    <x:row r="267">
      <x:c r="A267" t="str">
        <x:v>546204e9-92ed-4d62-a96a-6d3b50fe32c4</x:v>
      </x:c>
      <x:c r="B267" t="str">
        <x:v>L50-S06</x:v>
      </x:c>
      <x:c r="C267" t="str">
        <x:v>7292614b-ad5b-496f-836e-1ca257cb80cc</x:v>
      </x:c>
      <x:c r="D267" t="str">
        <x:v>50</x:v>
      </x:c>
      <x:c r="E267" t="str">
        <x:v>LES HYPOTHÈSES</x:v>
      </x:c>
      <x:c r="F267" t="str">
        <x:v>Hypothèse sur le présent</x:v>
      </x:c>
      <x:c r="G267" t="str">
        <x:v>فرض خلاف واقع حال</x:v>
      </x:c>
      <x:c r="H267" t="str">
        <x:v>برای وضعیت غیرواقعی/تصوری در حال: si + imparfait، conditionnel présent.</x:v>
      </x:c>
      <x:c r="I267" t="str">
        <x:v>Lesson 50; printed p. 234</x:v>
      </x:c>
      <x:c r="J267" t="str">
        <x:v>stage1-v1.0</x:v>
      </x:c>
    </x:row>
    <x:row r="268">
      <x:c r="A268" t="str">
        <x:v>4ebdf28a-6f8e-46df-b903-4c94d64c211b</x:v>
      </x:c>
      <x:c r="B268" t="str">
        <x:v>L50-S07</x:v>
      </x:c>
      <x:c r="C268" t="str">
        <x:v>7292614b-ad5b-496f-836e-1ca257cb80cc</x:v>
      </x:c>
      <x:c r="D268" t="str">
        <x:v>50</x:v>
      </x:c>
      <x:c r="E268" t="str">
        <x:v>LES HYPOTHÈSES</x:v>
      </x:c>
      <x:c r="F268" t="str">
        <x:v>Suggestion avec « si + imparfait »</x:v>
      </x:c>
      <x:c r="G268" t="str">
        <x:v>پیشنهاد با si+imparfait</x:v>
      </x:c>
      <x:c r="H268" t="str">
        <x:v>Si on allait… ? / Si on prenait… ? پیشنهاد نرم است.</x:v>
      </x:c>
      <x:c r="I268" t="str">
        <x:v>Lesson 50; printed p. 234</x:v>
      </x:c>
      <x:c r="J268" t="str">
        <x:v>stage1-v1.0</x:v>
      </x:c>
    </x:row>
    <x:row r="269">
      <x:c r="A269" t="str">
        <x:v>06f987df-ddf0-4b70-a2e9-31866042a635</x:v>
      </x:c>
      <x:c r="B269" t="str">
        <x:v>L50-S08</x:v>
      </x:c>
      <x:c r="C269" t="str">
        <x:v>7292614b-ad5b-496f-836e-1ca257cb80cc</x:v>
      </x:c>
      <x:c r="D269" t="str">
        <x:v>50</x:v>
      </x:c>
      <x:c r="E269" t="str">
        <x:v>LES HYPOTHÈSES</x:v>
      </x:c>
      <x:c r="F269" t="str">
        <x:v>Hypothèse sur le passé</x:v>
      </x:c>
      <x:c r="G269" t="str">
        <x:v>فرض خلاف واقع گذشته</x:v>
      </x:c>
      <x:c r="H269" t="str">
        <x:v>برای رخداد انجام‌نشده در گذشته: si + plus-que-parfait، conditionnel passé.</x:v>
      </x:c>
      <x:c r="I269" t="str">
        <x:v>Lesson 50; printed p. 234</x:v>
      </x:c>
      <x:c r="J269" t="str">
        <x:v>stage1-v1.0</x:v>
      </x:c>
    </x:row>
    <x:row r="270">
      <x:c r="A270" t="str">
        <x:v>45a121bf-bac9-4f71-b40c-78e3780d845b</x:v>
      </x:c>
      <x:c r="B270" t="str">
        <x:v>L51-S01</x:v>
      </x:c>
      <x:c r="C270" t="str">
        <x:v>5a20dade-1724-4c8a-887c-14dee287c1a2</x:v>
      </x:c>
      <x:c r="D270" t="str">
        <x:v>51</x:v>
      </x:c>
      <x:c r="E270" t="str">
        <x:v>LE SUBJONCTIF</x:v>
      </x:c>
      <x:c r="F270" t="str">
        <x:v>Indicatif objectif vs subjonctif subjectif</x:v>
      </x:c>
      <x:c r="G270" t="str">
        <x:v>indicatif عینی و subjonctif ذهنی</x:v>
      </x:c>
      <x:c r="H270" t="str">
        <x:v>کتاب indicatif را برای واقعیت عینی/داده‌شده و subjonctif را برای خواسته، احساس، انتظار یا الزام معرفی می‌کند.</x:v>
      </x:c>
      <x:c r="I270" t="str">
        <x:v>Lesson 51; printed p. 238</x:v>
      </x:c>
      <x:c r="J270" t="str">
        <x:v>stage1-v1.0</x:v>
      </x:c>
    </x:row>
    <x:row r="271">
      <x:c r="A271" t="str">
        <x:v>e2322e61-f991-4dd3-8080-192e0c7ac4a4</x:v>
      </x:c>
      <x:c r="B271" t="str">
        <x:v>L51-S02</x:v>
      </x:c>
      <x:c r="C271" t="str">
        <x:v>5a20dade-1724-4c8a-887c-14dee287c1a2</x:v>
      </x:c>
      <x:c r="D271" t="str">
        <x:v>51</x:v>
      </x:c>
      <x:c r="E271" t="str">
        <x:v>LE SUBJONCTIF</x:v>
      </x:c>
      <x:c r="F271" t="str">
        <x:v>« il faut + infinitif » vs « il faut que + subjonctif »</x:v>
      </x:c>
      <x:c r="G271" t="str">
        <x:v>الزام عمومی/شخصی</x:v>
      </x:c>
      <x:c r="H271" t="str">
        <x:v>il faut + infinitif الزام عمومی و il faut que + subjonctif الزام شخصی با فاعل مشخص را بیان می‌کند.</x:v>
      </x:c>
      <x:c r="I271" t="str">
        <x:v>Lesson 51; printed p. 238</x:v>
      </x:c>
      <x:c r="J271" t="str">
        <x:v>stage1-v1.0</x:v>
      </x:c>
    </x:row>
    <x:row r="272">
      <x:c r="A272" t="str">
        <x:v>a2095cf8-26d0-4d05-ad47-80462e521fae</x:v>
      </x:c>
      <x:c r="B272" t="str">
        <x:v>L51-S03</x:v>
      </x:c>
      <x:c r="C272" t="str">
        <x:v>5a20dade-1724-4c8a-887c-14dee287c1a2</x:v>
      </x:c>
      <x:c r="D272" t="str">
        <x:v>51</x:v>
      </x:c>
      <x:c r="E272" t="str">
        <x:v>LE SUBJONCTIF</x:v>
      </x:c>
      <x:c r="F272" t="str">
        <x:v>Subjonctif des verbes en -er</x:v>
      </x:c>
      <x:c r="G272" t="str">
        <x:v>subjonctif افعال -er</x:v>
      </x:c>
      <x:c r="H272" t="str">
        <x:v>برای -er بیشتر اشخاص مانند présent هستند؛ nous/vous -ions/-iez می‌گیرند.</x:v>
      </x:c>
      <x:c r="I272" t="str">
        <x:v>Lesson 51; printed p. 238</x:v>
      </x:c>
      <x:c r="J272" t="str">
        <x:v>stage1-v1.0</x:v>
      </x:c>
    </x:row>
    <x:row r="273">
      <x:c r="A273" t="str">
        <x:v>23fb26d2-f4eb-4338-9732-e1c9bd38e318</x:v>
      </x:c>
      <x:c r="B273" t="str">
        <x:v>L51-S04</x:v>
      </x:c>
      <x:c r="C273" t="str">
        <x:v>5a20dade-1724-4c8a-887c-14dee287c1a2</x:v>
      </x:c>
      <x:c r="D273" t="str">
        <x:v>51</x:v>
      </x:c>
      <x:c r="E273" t="str">
        <x:v>LE SUBJONCTIF</x:v>
      </x:c>
      <x:c r="F273" t="str">
        <x:v>Formation générale</x:v>
      </x:c>
      <x:c r="G273" t="str">
        <x:v>ساخت عمومی subjonctif</x:v>
      </x:c>
      <x:c r="H273" t="str">
        <x:v>ریشهٔ ils présent بدون -ent + e, es, e, ions, iez, ent.</x:v>
      </x:c>
      <x:c r="I273" t="str">
        <x:v>Lesson 51; printed p. 240</x:v>
      </x:c>
      <x:c r="J273" t="str">
        <x:v>stage1-v1.0</x:v>
      </x:c>
    </x:row>
    <x:row r="274">
      <x:c r="A274" t="str">
        <x:v>95d4c889-f9fe-475a-8569-e60227227576</x:v>
      </x:c>
      <x:c r="B274" t="str">
        <x:v>L51-S05</x:v>
      </x:c>
      <x:c r="C274" t="str">
        <x:v>5a20dade-1724-4c8a-887c-14dee287c1a2</x:v>
      </x:c>
      <x:c r="D274" t="str">
        <x:v>51</x:v>
      </x:c>
      <x:c r="E274" t="str">
        <x:v>LE SUBJONCTIF</x:v>
      </x:c>
      <x:c r="F274" t="str">
        <x:v>Verbes irréguliers</x:v>
      </x:c>
      <x:c r="G274" t="str">
        <x:v>افعال نامنظم subjonctif</x:v>
      </x:c>
      <x:c r="H274" t="str">
        <x:v>être, avoir, aller, faire و نیز pouvoir/savoir شکل‌های نامنظم دارند.</x:v>
      </x:c>
      <x:c r="I274" t="str">
        <x:v>Lesson 51; printed p. 240</x:v>
      </x:c>
      <x:c r="J274" t="str">
        <x:v>stage1-v1.0</x:v>
      </x:c>
    </x:row>
    <x:row r="275">
      <x:c r="A275" t="str">
        <x:v>726e7213-00e2-4d17-9a3e-9d0a0303a4b7</x:v>
      </x:c>
      <x:c r="B275" t="str">
        <x:v>L51-S06</x:v>
      </x:c>
      <x:c r="C275" t="str">
        <x:v>5a20dade-1724-4c8a-887c-14dee287c1a2</x:v>
      </x:c>
      <x:c r="D275" t="str">
        <x:v>51</x:v>
      </x:c>
      <x:c r="E275" t="str">
        <x:v>LE SUBJONCTIF</x:v>
      </x:c>
      <x:c r="F275" t="str">
        <x:v>Verbes « objectifs » + indicatif</x:v>
      </x:c>
      <x:c r="G275" t="str">
        <x:v>افعال عینی + indicatif</x:v>
      </x:c>
      <x:c r="H275" t="str">
        <x:v>constater, observer, remarquer, penser, croire, supposer, affirmer, déclarer, dire عموماً indicatif می‌گیرند.</x:v>
      </x:c>
      <x:c r="I275" t="str">
        <x:v>Lesson 51; printed p. 242</x:v>
      </x:c>
      <x:c r="J275" t="str">
        <x:v>stage1-v1.0</x:v>
      </x:c>
    </x:row>
    <x:row r="276">
      <x:c r="A276" t="str">
        <x:v>cf37f91c-5a35-4792-9172-5ee13609a125</x:v>
      </x:c>
      <x:c r="B276" t="str">
        <x:v>L51-S07</x:v>
      </x:c>
      <x:c r="C276" t="str">
        <x:v>5a20dade-1724-4c8a-887c-14dee287c1a2</x:v>
      </x:c>
      <x:c r="D276" t="str">
        <x:v>51</x:v>
      </x:c>
      <x:c r="E276" t="str">
        <x:v>LE SUBJONCTIF</x:v>
      </x:c>
      <x:c r="F276" t="str">
        <x:v>Verbes « subjectifs » + subjonctif</x:v>
      </x:c>
      <x:c r="G276" t="str">
        <x:v>افعال ذهنی + subjonctif</x:v>
      </x:c>
      <x:c r="H276" t="str">
        <x:v>désirer, aimer, souhaiter, avoir peur, craindre, redouter, vouloir, ordonner, exiger, supplier subjonctif می‌گیرند.</x:v>
      </x:c>
      <x:c r="I276" t="str">
        <x:v>Lesson 51; printed p. 242</x:v>
      </x:c>
      <x:c r="J276" t="str">
        <x:v>stage1-v1.0</x:v>
      </x:c>
    </x:row>
    <x:row r="277">
      <x:c r="A277" t="str">
        <x:v>5df33d64-6ddb-42e1-b658-4978b6daf76e</x:v>
      </x:c>
      <x:c r="B277" t="str">
        <x:v>L51-S08</x:v>
      </x:c>
      <x:c r="C277" t="str">
        <x:v>5a20dade-1724-4c8a-887c-14dee287c1a2</x:v>
      </x:c>
      <x:c r="D277" t="str">
        <x:v>51</x:v>
      </x:c>
      <x:c r="E277" t="str">
        <x:v>LE SUBJONCTIF</x:v>
      </x:c>
      <x:c r="F277" t="str">
        <x:v>Exception « espérer + indicatif »</x:v>
      </x:c>
      <x:c r="G277" t="str">
        <x:v>استثنای espérer</x:v>
      </x:c>
      <x:c r="H277" t="str">
        <x:v>espérer با indicatif می‌آید، نه subjonctif.</x:v>
      </x:c>
      <x:c r="I277" t="str">
        <x:v>Lesson 51; printed p. 242</x:v>
      </x:c>
      <x:c r="J277" t="str">
        <x:v>stage1-v1.0</x:v>
      </x:c>
    </x:row>
    <x:row r="278">
      <x:c r="A278" t="str">
        <x:v>e82e6c09-4af0-4a36-a27e-ba4aa963b78b</x:v>
      </x:c>
      <x:c r="B278" t="str">
        <x:v>L51-S09</x:v>
      </x:c>
      <x:c r="C278" t="str">
        <x:v>5a20dade-1724-4c8a-887c-14dee287c1a2</x:v>
      </x:c>
      <x:c r="D278" t="str">
        <x:v>51</x:v>
      </x:c>
      <x:c r="E278" t="str">
        <x:v>LE SUBJONCTIF</x:v>
      </x:c>
      <x:c r="F278" t="str">
        <x:v>Négation/interrogation des verbes objectifs</x:v>
      </x:c>
      <x:c r="G278" t="str">
        <x:v>افعال عینی در نفی/پرسش</x:v>
      </x:c>
      <x:c r="H278" t="str">
        <x:v>افعال عینی در شکل منفی غالباً subjonctif می‌گیرند؛ پس از پرسش با inversion نیز subjonctif رایج است.</x:v>
      </x:c>
      <x:c r="I278" t="str">
        <x:v>Lesson 51; printed p. 242</x:v>
      </x:c>
      <x:c r="J278" t="str">
        <x:v>stage1-v1.0</x:v>
      </x:c>
    </x:row>
    <x:row r="279">
      <x:c r="A279" t="str">
        <x:v>d122da58-bbce-41da-913b-7c721230418a</x:v>
      </x:c>
      <x:c r="B279" t="str">
        <x:v>L51-S10</x:v>
      </x:c>
      <x:c r="C279" t="str">
        <x:v>5a20dade-1724-4c8a-887c-14dee287c1a2</x:v>
      </x:c>
      <x:c r="D279" t="str">
        <x:v>51</x:v>
      </x:c>
      <x:c r="E279" t="str">
        <x:v>LE SUBJONCTIF</x:v>
      </x:c>
      <x:c r="F279" t="str">
        <x:v>Jugement adjectival</x:v>
      </x:c>
      <x:c r="G279" t="str">
        <x:v>قضاوت صفتی</x:v>
      </x:c>
      <x:c r="H279" t="str">
        <x:v>وقتی صفت داوری/ارزیابی را بیان کند، جملهٔ وابسته subjonctif می‌گیرد.</x:v>
      </x:c>
      <x:c r="I279" t="str">
        <x:v>Lesson 51; printed p. 242</x:v>
      </x:c>
      <x:c r="J279" t="str">
        <x:v>stage1-v1.0</x:v>
      </x:c>
    </x:row>
    <x:row r="280">
      <x:c r="A280" t="str">
        <x:v>67104d2b-d956-490d-a98c-d82be49e636c</x:v>
      </x:c>
      <x:c r="B280" t="str">
        <x:v>L51-S11</x:v>
      </x:c>
      <x:c r="C280" t="str">
        <x:v>5a20dade-1724-4c8a-887c-14dee287c1a2</x:v>
      </x:c>
      <x:c r="D280" t="str">
        <x:v>51</x:v>
      </x:c>
      <x:c r="E280" t="str">
        <x:v>LE SUBJONCTIF</x:v>
      </x:c>
      <x:c r="F280" t="str">
        <x:v>« ne » stylistique après crainte</x:v>
      </x:c>
      <x:c r="G280" t="str">
        <x:v>ne سبکی پس از ترس</x:v>
      </x:c>
      <x:c r="H280" t="str">
        <x:v>پس از افعال ترس ممکن است ne غیرمنفی پیش از subjonctif بیاید.</x:v>
      </x:c>
      <x:c r="I280" t="str">
        <x:v>Lesson 51; printed p. 242</x:v>
      </x:c>
      <x:c r="J280" t="str">
        <x:v>stage1-v1.0</x:v>
      </x:c>
    </x:row>
    <x:row r="281">
      <x:c r="A281" t="str">
        <x:v>826c92db-0d7a-4037-b2ed-96a5099d063e</x:v>
      </x:c>
      <x:c r="B281" t="str">
        <x:v>L51-S12</x:v>
      </x:c>
      <x:c r="C281" t="str">
        <x:v>5a20dade-1724-4c8a-887c-14dee287c1a2</x:v>
      </x:c>
      <x:c r="D281" t="str">
        <x:v>51</x:v>
      </x:c>
      <x:c r="E281" t="str">
        <x:v>LE SUBJONCTIF</x:v>
      </x:c>
      <x:c r="F281" t="str">
        <x:v>Constructions impersonnelles: contrainte/jugement</x:v>
      </x:c>
      <x:c r="G281" t="str">
        <x:v>ساخت بی‌شخصِ الزام/قضاوت</x:v>
      </x:c>
      <x:c r="H281" t="str">
        <x:v>il faut, il vaut mieux, il vaudrait mieux, il est important, il est dommage و مشابه‌ها subjonctif می‌گیرند.</x:v>
      </x:c>
      <x:c r="I281" t="str">
        <x:v>Lesson 51; printed p. 246</x:v>
      </x:c>
      <x:c r="J281" t="str">
        <x:v>stage1-v1.0</x:v>
      </x:c>
    </x:row>
    <x:row r="282">
      <x:c r="A282" t="str">
        <x:v>6bacc3ea-68c5-46f8-9573-040cb721cf3a</x:v>
      </x:c>
      <x:c r="B282" t="str">
        <x:v>L51-S13</x:v>
      </x:c>
      <x:c r="C282" t="str">
        <x:v>5a20dade-1724-4c8a-887c-14dee287c1a2</x:v>
      </x:c>
      <x:c r="D282" t="str">
        <x:v>51</x:v>
      </x:c>
      <x:c r="E282" t="str">
        <x:v>LE SUBJONCTIF</x:v>
      </x:c>
      <x:c r="F282" t="str">
        <x:v>Constructions impersonnelles de certitude</x:v>
      </x:c>
      <x:c r="G282" t="str">
        <x:v>ساخت بی‌شخصِ قطعیت</x:v>
      </x:c>
      <x:c r="H282" t="str">
        <x:v>il est évident/clair/certain + que معمولاً indicatif می‌گیرد.</x:v>
      </x:c>
      <x:c r="I282" t="str">
        <x:v>Lesson 51; printed p. 246</x:v>
      </x:c>
      <x:c r="J282" t="str">
        <x:v>stage1-v1.0</x:v>
      </x:c>
    </x:row>
    <x:row r="283">
      <x:c r="A283" t="str">
        <x:v>76a301f6-d302-4d13-bcdc-27b9bbe1ae6c</x:v>
      </x:c>
      <x:c r="B283" t="str">
        <x:v>L51-S14</x:v>
      </x:c>
      <x:c r="C283" t="str">
        <x:v>5a20dade-1724-4c8a-887c-14dee287c1a2</x:v>
      </x:c>
      <x:c r="D283" t="str">
        <x:v>51</x:v>
      </x:c>
      <x:c r="E283" t="str">
        <x:v>LE SUBJONCTIF</x:v>
      </x:c>
      <x:c r="F283" t="str">
        <x:v>Subjonctif et réalité</x:v>
      </x:c>
      <x:c r="G283" t="str">
        <x:v>واقعیت معلوم/نامعلوم</x:v>
      </x:c>
      <x:c r="H283" t="str">
        <x:v>indicatif برای مرجع معلوم/محتمل و subjonctif برای مرجع نامعلوم/ناموجود می‌تواند به‌کار رود.</x:v>
      </x:c>
      <x:c r="I283" t="str">
        <x:v>Lesson 51; printed p. 246</x:v>
      </x:c>
      <x:c r="J283" t="str">
        <x:v>stage1-v1.0</x:v>
      </x:c>
    </x:row>
    <x:row r="284">
      <x:c r="A284" t="str">
        <x:v>ac3881bb-88bd-43e1-bf66-f5ebb0ca6474</x:v>
      </x:c>
      <x:c r="B284" t="str">
        <x:v>L51-S15</x:v>
      </x:c>
      <x:c r="C284" t="str">
        <x:v>5a20dade-1724-4c8a-887c-14dee287c1a2</x:v>
      </x:c>
      <x:c r="D284" t="str">
        <x:v>51</x:v>
      </x:c>
      <x:c r="E284" t="str">
        <x:v>LE SUBJONCTIF</x:v>
      </x:c>
      <x:c r="F284" t="str">
        <x:v>Subjonctif présent vs passé</x:v>
      </x:c>
      <x:c r="G284" t="str">
        <x:v>subjonctif حال/گذشته</x:v>
      </x:c>
      <x:c r="H284" t="str">
        <x:v>subjonctif présent معمولاً برای عمل هم‌زمان/آینده و subjonctif passé برای عمل کامل‌شده است.</x:v>
      </x:c>
      <x:c r="I284" t="str">
        <x:v>Lesson 51; printed p. 246</x:v>
      </x:c>
      <x:c r="J284" t="str">
        <x:v>stage1-v1.0</x:v>
      </x:c>
    </x:row>
    <x:row r="285">
      <x:c r="A285" t="str">
        <x:v>2f0ccaf6-f14d-4954-b2f6-993a21c2e0d0</x:v>
      </x:c>
      <x:c r="B285" t="str">
        <x:v>L51-S16</x:v>
      </x:c>
      <x:c r="C285" t="str">
        <x:v>5a20dade-1724-4c8a-887c-14dee287c1a2</x:v>
      </x:c>
      <x:c r="D285" t="str">
        <x:v>51</x:v>
      </x:c>
      <x:c r="E285" t="str">
        <x:v>LE SUBJONCTIF</x:v>
      </x:c>
      <x:c r="F285" t="str">
        <x:v>Conjonctions de but</x:v>
      </x:c>
      <x:c r="G285" t="str">
        <x:v>پیوندهای هدف</x:v>
      </x:c>
      <x:c r="H285" t="str">
        <x:v>pour que, afin que, de sorte que در معنای هدف subjonctif می‌گیرند.</x:v>
      </x:c>
      <x:c r="I285" t="str">
        <x:v>Lesson 51; printed p. 248</x:v>
      </x:c>
      <x:c r="J285" t="str">
        <x:v>stage1-v1.0</x:v>
      </x:c>
    </x:row>
    <x:row r="286">
      <x:c r="A286" t="str">
        <x:v>d9824c46-77b1-4629-8ee4-8b9eaccca644</x:v>
      </x:c>
      <x:c r="B286" t="str">
        <x:v>L51-S17</x:v>
      </x:c>
      <x:c r="C286" t="str">
        <x:v>5a20dade-1724-4c8a-887c-14dee287c1a2</x:v>
      </x:c>
      <x:c r="D286" t="str">
        <x:v>51</x:v>
      </x:c>
      <x:c r="E286" t="str">
        <x:v>LE SUBJONCTIF</x:v>
      </x:c>
      <x:c r="F286" t="str">
        <x:v>Conjonctions de crainte</x:v>
      </x:c>
      <x:c r="G286" t="str">
        <x:v>پیوندهای ترس</x:v>
      </x:c>
      <x:c r="H286" t="str">
        <x:v>de crainte que / de peur que با subjonctif می‌آیند و ممکن است ne stylistique داشته باشند.</x:v>
      </x:c>
      <x:c r="I286" t="str">
        <x:v>Lesson 51; printed p. 248</x:v>
      </x:c>
      <x:c r="J286" t="str">
        <x:v>stage1-v1.0</x:v>
      </x:c>
    </x:row>
    <x:row r="287">
      <x:c r="A287" t="str">
        <x:v>7366a44f-a768-46b9-a74d-7e39ee839887</x:v>
      </x:c>
      <x:c r="B287" t="str">
        <x:v>L51-S18</x:v>
      </x:c>
      <x:c r="C287" t="str">
        <x:v>5a20dade-1724-4c8a-887c-14dee287c1a2</x:v>
      </x:c>
      <x:c r="D287" t="str">
        <x:v>51</x:v>
      </x:c>
      <x:c r="E287" t="str">
        <x:v>LE SUBJONCTIF</x:v>
      </x:c>
      <x:c r="F287" t="str">
        <x:v>Conjonctions temporelles</x:v>
      </x:c>
      <x:c r="G287" t="str">
        <x:v>پیوندهای زمانی subjonctif</x:v>
      </x:c>
      <x:c r="H287" t="str">
        <x:v>jusqu’à ce que, en attendant que, avant que subjonctif می‌گیرند.</x:v>
      </x:c>
      <x:c r="I287" t="str">
        <x:v>Lesson 51; printed p. 248</x:v>
      </x:c>
      <x:c r="J287" t="str">
        <x:v>stage1-v1.0</x:v>
      </x:c>
    </x:row>
    <x:row r="288">
      <x:c r="A288" t="str">
        <x:v>abb15f0c-4193-4080-8ef6-ae53faca02cc</x:v>
      </x:c>
      <x:c r="B288" t="str">
        <x:v>L51-S19</x:v>
      </x:c>
      <x:c r="C288" t="str">
        <x:v>5a20dade-1724-4c8a-887c-14dee287c1a2</x:v>
      </x:c>
      <x:c r="D288" t="str">
        <x:v>51</x:v>
      </x:c>
      <x:c r="E288" t="str">
        <x:v>LE SUBJONCTIF</x:v>
      </x:c>
      <x:c r="F288" t="str">
        <x:v>Concession/restriction</x:v>
      </x:c>
      <x:c r="G288" t="str">
        <x:v>محدودیت/امتیاز</x:v>
      </x:c>
      <x:c r="H288" t="str">
        <x:v>bien que و à moins que subjonctif می‌گیرند.</x:v>
      </x:c>
      <x:c r="I288" t="str">
        <x:v>Lesson 51; printed p. 248</x:v>
      </x:c>
      <x:c r="J288" t="str">
        <x:v>stage1-v1.0</x:v>
      </x:c>
    </x:row>
    <x:row r="289">
      <x:c r="A289" t="str">
        <x:v>2907ecc0-4788-48ed-ab94-746665c228a1</x:v>
      </x:c>
      <x:c r="B289" t="str">
        <x:v>L51-S20</x:v>
      </x:c>
      <x:c r="C289" t="str">
        <x:v>5a20dade-1724-4c8a-887c-14dee287c1a2</x:v>
      </x:c>
      <x:c r="D289" t="str">
        <x:v>51</x:v>
      </x:c>
      <x:c r="E289" t="str">
        <x:v>LE SUBJONCTIF</x:v>
      </x:c>
      <x:c r="F289" t="str">
        <x:v>Condition + subjonctif</x:v>
      </x:c>
      <x:c r="G289" t="str">
        <x:v>شرط با subjonctif</x:v>
      </x:c>
      <x:c r="H289" t="str">
        <x:v>à condition que و pourvu que subjonctif می‌گیرند.</x:v>
      </x:c>
      <x:c r="I289" t="str">
        <x:v>Lesson 51; printed p. 248</x:v>
      </x:c>
      <x:c r="J289" t="str">
        <x:v>stage1-v1.0</x:v>
      </x:c>
    </x:row>
    <x:row r="290">
      <x:c r="A290" t="str">
        <x:v>79e6796e-5cd8-48d1-a54c-9bf3d30b878d</x:v>
      </x:c>
      <x:c r="B290" t="str">
        <x:v>L52-S01</x:v>
      </x:c>
      <x:c r="C290" t="str">
        <x:v>f0a5d28c-4b03-42c8-bd92-0708737ab3f1</x:v>
      </x:c>
      <x:c r="D290" t="str">
        <x:v>52</x:v>
      </x:c>
      <x:c r="E290" t="str">
        <x:v>LES RELATIONS LOGIQUES</x:v>
      </x:c>
      <x:c r="F290" t="str">
        <x:v>Cause avec « parce que »</x:v>
      </x:c>
      <x:c r="G290" t="str">
        <x:v>علت با parce que</x:v>
      </x:c>
      <x:c r="H290" t="str">
        <x:v>parce que علت مستقیم را معمولاً پس از جملهٔ اصلی می‌آورد و به Pourquoi ? پاسخ می‌دهد.</x:v>
      </x:c>
      <x:c r="I290" t="str">
        <x:v>Lesson 52; printed p. 250</x:v>
      </x:c>
      <x:c r="J290" t="str">
        <x:v>stage1-v1.0</x:v>
      </x:c>
    </x:row>
    <x:row r="291">
      <x:c r="A291" t="str">
        <x:v>6b4a785a-d16d-4a91-9f66-3e8c1da66869</x:v>
      </x:c>
      <x:c r="B291" t="str">
        <x:v>L52-S02</x:v>
      </x:c>
      <x:c r="C291" t="str">
        <x:v>f0a5d28c-4b03-42c8-bd92-0708737ab3f1</x:v>
      </x:c>
      <x:c r="D291" t="str">
        <x:v>52</x:v>
      </x:c>
      <x:c r="E291" t="str">
        <x:v>LES RELATIONS LOGIQUES</x:v>
      </x:c>
      <x:c r="F291" t="str">
        <x:v>Cause avec « comme »</x:v>
      </x:c>
      <x:c r="G291" t="str">
        <x:v>علت با comme</x:v>
      </x:c>
      <x:c r="H291" t="str">
        <x:v>comme علت را در ابتدای جمله می‌آورد.</x:v>
      </x:c>
      <x:c r="I291" t="str">
        <x:v>Lesson 52; printed p. 250</x:v>
      </x:c>
      <x:c r="J291" t="str">
        <x:v>stage1-v1.0</x:v>
      </x:c>
    </x:row>
    <x:row r="292">
      <x:c r="A292" t="str">
        <x:v>4f014767-524c-42c7-aee1-9c563ca1f529</x:v>
      </x:c>
      <x:c r="B292" t="str">
        <x:v>L52-S03</x:v>
      </x:c>
      <x:c r="C292" t="str">
        <x:v>f0a5d28c-4b03-42c8-bd92-0708737ab3f1</x:v>
      </x:c>
      <x:c r="D292" t="str">
        <x:v>52</x:v>
      </x:c>
      <x:c r="E292" t="str">
        <x:v>LES RELATIONS LOGIQUES</x:v>
      </x:c>
      <x:c r="F292" t="str">
        <x:v>Cause connue avec « puisque »</x:v>
      </x:c>
      <x:c r="G292" t="str">
        <x:v>علت معلوم با puisque</x:v>
      </x:c>
      <x:c r="H292" t="str">
        <x:v>puisque علتی را بیان می‌کند که برای مخاطب معلوم یا بدیهی فرض می‌شود.</x:v>
      </x:c>
      <x:c r="I292" t="str">
        <x:v>Lesson 52; printed p. 250</x:v>
      </x:c>
      <x:c r="J292" t="str">
        <x:v>stage1-v1.0</x:v>
      </x:c>
    </x:row>
    <x:row r="293">
      <x:c r="A293" t="str">
        <x:v>f284b2fe-e509-45fc-9226-1862e2cc3b3f</x:v>
      </x:c>
      <x:c r="B293" t="str">
        <x:v>L52-S04</x:v>
      </x:c>
      <x:c r="C293" t="str">
        <x:v>f0a5d28c-4b03-42c8-bd92-0708737ab3f1</x:v>
      </x:c>
      <x:c r="D293" t="str">
        <x:v>52</x:v>
      </x:c>
      <x:c r="E293" t="str">
        <x:v>LES RELATIONS LOGIQUES</x:v>
      </x:c>
      <x:c r="F293" t="str">
        <x:v>« car/en effet »</x:v>
      </x:c>
      <x:c r="G293" t="str">
        <x:v>car/en effet</x:v>
      </x:c>
      <x:c r="H293" t="str">
        <x:v>car و en effet بیشتر در نوشتار برای توضیح/توجیه به‌کار می‌روند.</x:v>
      </x:c>
      <x:c r="I293" t="str">
        <x:v>Lesson 52; printed p. 250</x:v>
      </x:c>
      <x:c r="J293" t="str">
        <x:v>stage1-v1.0</x:v>
      </x:c>
    </x:row>
    <x:row r="294">
      <x:c r="A294" t="str">
        <x:v>cd1de3b1-1b25-4b7c-843b-3f3542601b43</x:v>
      </x:c>
      <x:c r="B294" t="str">
        <x:v>L52-S05</x:v>
      </x:c>
      <x:c r="C294" t="str">
        <x:v>f0a5d28c-4b03-42c8-bd92-0708737ab3f1</x:v>
      </x:c>
      <x:c r="D294" t="str">
        <x:v>52</x:v>
      </x:c>
      <x:c r="E294" t="str">
        <x:v>LES RELATIONS LOGIQUES</x:v>
      </x:c>
      <x:c r="F294" t="str">
        <x:v>« à cause de » vs « grâce à »</x:v>
      </x:c>
      <x:c r="G294" t="str">
        <x:v>à cause de در برابر grâce à</x:v>
      </x:c>
      <x:c r="H294" t="str">
        <x:v>à cause de + nom علت با نتیجهٔ نامطلوب/خنثی و grâce à + nom علت مثبت را بیان می‌کند.</x:v>
      </x:c>
      <x:c r="I294" t="str">
        <x:v>Lesson 52; printed p. 250</x:v>
      </x:c>
      <x:c r="J294" t="str">
        <x:v>stage1-v1.0</x:v>
      </x:c>
    </x:row>
    <x:row r="295">
      <x:c r="A295" t="str">
        <x:v>e54f2f7b-da87-4e46-8f9b-02199d0fc984</x:v>
      </x:c>
      <x:c r="B295" t="str">
        <x:v>L52-S06</x:v>
      </x:c>
      <x:c r="C295" t="str">
        <x:v>f0a5d28c-4b03-42c8-bd92-0708737ab3f1</x:v>
      </x:c>
      <x:c r="D295" t="str">
        <x:v>52</x:v>
      </x:c>
      <x:c r="E295" t="str">
        <x:v>LES RELATIONS LOGIQUES</x:v>
      </x:c>
      <x:c r="F295" t="str">
        <x:v>Conséquence « donc/par conséquent/alors »</x:v>
      </x:c>
      <x:c r="G295" t="str">
        <x:v>نتیجه با donc/par conséquent/alors</x:v>
      </x:c>
      <x:c r="H295" t="str">
        <x:v>donc و par conséquent نتیجه را معرفی می‌کنند؛ alors در زبان جاری بسیار رایج است.</x:v>
      </x:c>
      <x:c r="I295" t="str">
        <x:v>Lesson 52; printed p. 252</x:v>
      </x:c>
      <x:c r="J295" t="str">
        <x:v>stage1-v1.0</x:v>
      </x:c>
    </x:row>
    <x:row r="296">
      <x:c r="A296" t="str">
        <x:v>972c84e1-6ed5-41f7-a6db-d6f789bc7c24</x:v>
      </x:c>
      <x:c r="B296" t="str">
        <x:v>L52-S07</x:v>
      </x:c>
      <x:c r="C296" t="str">
        <x:v>f0a5d28c-4b03-42c8-bd92-0708737ab3f1</x:v>
      </x:c>
      <x:c r="D296" t="str">
        <x:v>52</x:v>
      </x:c>
      <x:c r="E296" t="str">
        <x:v>LES RELATIONS LOGIQUES</x:v>
      </x:c>
      <x:c r="F296" t="str">
        <x:v>Conséquence « si bien que/de sorte que »</x:v>
      </x:c>
      <x:c r="G296" t="str">
        <x:v>نتیجهٔ قابل پیش‌بینی</x:v>
      </x:c>
      <x:c r="H296" t="str">
        <x:v>si bien que و de sorte que می‌توانند نتیجهٔ واقعی/قابل‌پیش‌بینی را بیان کنند.</x:v>
      </x:c>
      <x:c r="I296" t="str">
        <x:v>Lesson 52; printed p. 252</x:v>
      </x:c>
      <x:c r="J296" t="str">
        <x:v>stage1-v1.0</x:v>
      </x:c>
    </x:row>
    <x:row r="297">
      <x:c r="A297" t="str">
        <x:v>b99f1549-c029-4b09-aac6-fe78a924dc8e</x:v>
      </x:c>
      <x:c r="B297" t="str">
        <x:v>L52-S08</x:v>
      </x:c>
      <x:c r="C297" t="str">
        <x:v>f0a5d28c-4b03-42c8-bd92-0708737ab3f1</x:v>
      </x:c>
      <x:c r="D297" t="str">
        <x:v>52</x:v>
      </x:c>
      <x:c r="E297" t="str">
        <x:v>LES RELATIONS LOGIQUES</x:v>
      </x:c>
      <x:c r="F297" t="str">
        <x:v>« c’est pourquoi / c’est pour ça que / raison pour laquelle »</x:v>
      </x:c>
      <x:c r="G297" t="str">
        <x:v>ساخت‌های نتیجه</x:v>
      </x:c>
      <x:c r="H297" t="str">
        <x:v>این ساخت‌ها رابطهٔ علت/نتیجه را با درجات مختلف رسمیت بیان می‌کنند.</x:v>
      </x:c>
      <x:c r="I297" t="str">
        <x:v>Lesson 52; printed p. 252</x:v>
      </x:c>
      <x:c r="J297" t="str">
        <x:v>stage1-v1.0</x:v>
      </x:c>
    </x:row>
    <x:row r="298">
      <x:c r="A298" t="str">
        <x:v>7f792052-6db3-45d6-bdef-232c8ef8b7a4</x:v>
      </x:c>
      <x:c r="B298" t="str">
        <x:v>L52-S09</x:v>
      </x:c>
      <x:c r="C298" t="str">
        <x:v>f0a5d28c-4b03-42c8-bd92-0708737ab3f1</x:v>
      </x:c>
      <x:c r="D298" t="str">
        <x:v>52</x:v>
      </x:c>
      <x:c r="E298" t="str">
        <x:v>LES RELATIONS LOGIQUES</x:v>
      </x:c>
      <x:c r="F298" t="str">
        <x:v>But « pour/pour que »</x:v>
      </x:c>
      <x:c r="G298" t="str">
        <x:v>هدف با pour/pour que</x:v>
      </x:c>
      <x:c r="H298" t="str">
        <x:v>برای فاعل یکسان pour + infinitif؛ برای فاعل متفاوت pour que + subjonctif.</x:v>
      </x:c>
      <x:c r="I298" t="str">
        <x:v>Lesson 52; printed p. 252</x:v>
      </x:c>
      <x:c r="J298" t="str">
        <x:v>stage1-v1.0</x:v>
      </x:c>
    </x:row>
    <x:row r="299">
      <x:c r="A299" t="str">
        <x:v>7b63a80d-91dc-4375-a34c-0ffd3e5c4067</x:v>
      </x:c>
      <x:c r="B299" t="str">
        <x:v>L52-S10</x:v>
      </x:c>
      <x:c r="C299" t="str">
        <x:v>f0a5d28c-4b03-42c8-bd92-0708737ab3f1</x:v>
      </x:c>
      <x:c r="D299" t="str">
        <x:v>52</x:v>
      </x:c>
      <x:c r="E299" t="str">
        <x:v>LES RELATIONS LOGIQUES</x:v>
      </x:c>
      <x:c r="F299" t="str">
        <x:v>But « afin de/afin que »</x:v>
      </x:c>
      <x:c r="G299" t="str">
        <x:v>هدف رسمی‌تر</x:v>
      </x:c>
      <x:c r="H299" t="str">
        <x:v>afin de + infinitif و afin que + subjonctif برای هدف، به‌ویژه در سبک رسمی‌تر، استفاده می‌شوند.</x:v>
      </x:c>
      <x:c r="I299" t="str">
        <x:v>Lesson 52; printed p. 252</x:v>
      </x:c>
      <x:c r="J299" t="str">
        <x:v>stage1-v1.0</x:v>
      </x:c>
    </x:row>
    <x:row r="300">
      <x:c r="A300" t="str">
        <x:v>5c6ffc10-0ec8-4dd3-9b2a-a553baff659a</x:v>
      </x:c>
      <x:c r="B300" t="str">
        <x:v>L52-S11</x:v>
      </x:c>
      <x:c r="C300" t="str">
        <x:v>f0a5d28c-4b03-42c8-bd92-0708737ab3f1</x:v>
      </x:c>
      <x:c r="D300" t="str">
        <x:v>52</x:v>
      </x:c>
      <x:c r="E300" t="str">
        <x:v>LES RELATIONS LOGIQUES</x:v>
      </x:c>
      <x:c r="F300" t="str">
        <x:v>Opposition « mais/par contre/en revanche »</x:v>
      </x:c>
      <x:c r="G300" t="str">
        <x:v>تضاد مستقل</x:v>
      </x:c>
      <x:c r="H300" t="str">
        <x:v>mais دو واقعیت مستقل متفاوت را مقابل می‌گذارد؛ par contre/en revanche تضاد را تقویت می‌کنند.</x:v>
      </x:c>
      <x:c r="I300" t="str">
        <x:v>Lesson 52; printed p. 254</x:v>
      </x:c>
      <x:c r="J300" t="str">
        <x:v>stage1-v1.0</x:v>
      </x:c>
    </x:row>
    <x:row r="301">
      <x:c r="A301" t="str">
        <x:v>854bb16a-2b2d-4a45-b14f-a543b1ad33ab</x:v>
      </x:c>
      <x:c r="B301" t="str">
        <x:v>L52-S12</x:v>
      </x:c>
      <x:c r="C301" t="str">
        <x:v>f0a5d28c-4b03-42c8-bd92-0708737ab3f1</x:v>
      </x:c>
      <x:c r="D301" t="str">
        <x:v>52</x:v>
      </x:c>
      <x:c r="E301" t="str">
        <x:v>LES RELATIONS LOGIQUES</x:v>
      </x:c>
      <x:c r="F301" t="str">
        <x:v>Opposition « tandis que/alors que »</x:v>
      </x:c>
      <x:c r="G301" t="str">
        <x:v>تقابل مقایسه‌ای</x:v>
      </x:c>
      <x:c r="H301" t="str">
        <x:v>tandis que و alors que دو وضعیت را در مقایسه با هم مقابل می‌گذارند.</x:v>
      </x:c>
      <x:c r="I301" t="str">
        <x:v>Lesson 52; printed p. 254</x:v>
      </x:c>
      <x:c r="J301" t="str">
        <x:v>stage1-v1.0</x:v>
      </x:c>
    </x:row>
    <x:row r="302">
      <x:c r="A302" t="str">
        <x:v>11481250-0508-4e8d-8b58-1a60778d7bbd</x:v>
      </x:c>
      <x:c r="B302" t="str">
        <x:v>L52-S13</x:v>
      </x:c>
      <x:c r="C302" t="str">
        <x:v>f0a5d28c-4b03-42c8-bd92-0708737ab3f1</x:v>
      </x:c>
      <x:c r="D302" t="str">
        <x:v>52</x:v>
      </x:c>
      <x:c r="E302" t="str">
        <x:v>LES RELATIONS LOGIQUES</x:v>
      </x:c>
      <x:c r="F302" t="str">
        <x:v>Concession « pourtant/cependant/toutefois »</x:v>
      </x:c>
      <x:c r="G302" t="str">
        <x:v>concession خلاف انتظار</x:v>
      </x:c>
      <x:c r="H302" t="str">
        <x:v>pourtant نتیجهٔ خلاف انتظار را می‌آورد؛ cependant/toutefois نوشتاری‌ترند.</x:v>
      </x:c>
      <x:c r="I302" t="str">
        <x:v>Lesson 52; printed p. 254</x:v>
      </x:c>
      <x:c r="J302" t="str">
        <x:v>stage1-v1.0</x:v>
      </x:c>
    </x:row>
    <x:row r="303">
      <x:c r="A303" t="str">
        <x:v>decc0807-3da7-4eb3-9727-1f285dfe415e</x:v>
      </x:c>
      <x:c r="B303" t="str">
        <x:v>L52-S14</x:v>
      </x:c>
      <x:c r="C303" t="str">
        <x:v>f0a5d28c-4b03-42c8-bd92-0708737ab3f1</x:v>
      </x:c>
      <x:c r="D303" t="str">
        <x:v>52</x:v>
      </x:c>
      <x:c r="E303" t="str">
        <x:v>LES RELATIONS LOGIQUES</x:v>
      </x:c>
      <x:c r="F303" t="str">
        <x:v>Concession « bien que/malgré »</x:v>
      </x:c>
      <x:c r="G303" t="str">
        <x:v>bien que در برابر malgré</x:v>
      </x:c>
      <x:c r="H303" t="str">
        <x:v>bien que + subjonctif و malgré + nom «با وجود» را بیان می‌کنند.</x:v>
      </x:c>
      <x:c r="I303" t="str">
        <x:v>Lesson 52; printed p. 254</x:v>
      </x:c>
      <x:c r="J303" t="str">
        <x:v>stage1-v1.0</x:v>
      </x:c>
    </x:row>
    <x:row r="304">
      <x:c r="A304" t="str">
        <x:v>43e6fcce-78f4-40d5-b07a-af6e223358a0</x:v>
      </x:c>
      <x:c r="B304" t="str">
        <x:v>L52-S15</x:v>
      </x:c>
      <x:c r="C304" t="str">
        <x:v>f0a5d28c-4b03-42c8-bd92-0708737ab3f1</x:v>
      </x:c>
      <x:c r="D304" t="str">
        <x:v>52</x:v>
      </x:c>
      <x:c r="E304" t="str">
        <x:v>LES RELATIONS LOGIQUES</x:v>
      </x:c>
      <x:c r="F304" t="str">
        <x:v>« quand même »</x:v>
      </x:c>
      <x:c r="G304" t="str">
        <x:v>quand même</x:v>
      </x:c>
      <x:c r="H304" t="str">
        <x:v>quand même در گفتار «با این حال/با وجود همه‌چیز» و گاهی سرزنش را بیان می‌کند.</x:v>
      </x:c>
      <x:c r="I304" t="str">
        <x:v>Lesson 52; printed p. 254</x:v>
      </x:c>
      <x:c r="J304" t="str">
        <x:v>stage1-v1.0</x:v>
      </x:c>
    </x:row>
    <x:row r="305">
      <x:c r="A305" t="str">
        <x:v>38be82f9-176e-4970-9c24-4209bdf74e5d</x:v>
      </x:c>
      <x:c r="B305" t="str">
        <x:v>L52-S16</x:v>
      </x:c>
      <x:c r="C305" t="str">
        <x:v>f0a5d28c-4b03-42c8-bd92-0708737ab3f1</x:v>
      </x:c>
      <x:c r="D305" t="str">
        <x:v>52</x:v>
      </x:c>
      <x:c r="E305" t="str">
        <x:v>LES RELATIONS LOGIQUES</x:v>
      </x:c>
      <x:c r="F305" t="str">
        <x:v>« avoir beau + infinitif »</x:v>
      </x:c>
      <x:c r="G305" t="str">
        <x:v>avoir beau + مصدر</x:v>
      </x:c>
      <x:c r="H305" t="str">
        <x:v>avoir beau + infinitif بیان می‌کند با وجود تلاش/واقعیت، نتیجهٔ مورد انتظار حاصل نمی‌شود.</x:v>
      </x:c>
      <x:c r="I305" t="str">
        <x:v>Lesson 52; printed p. 254</x:v>
      </x:c>
      <x:c r="J305" t="str">
        <x:v>stage1-v1.0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8" hidden="0" customWidth="1"/>
    <x:col min="4" max="4" width="14" hidden="0" customWidth="1"/>
    <x:col min="5" max="5" width="16" hidden="0" customWidth="1"/>
    <x:col min="6" max="6" width="14" hidden="0" customWidth="1"/>
    <x:col min="7" max="7" width="26" hidden="0" customWidth="1"/>
    <x:col min="8" max="8" width="34" hidden="0" customWidth="1"/>
  </x:cols>
  <x:sheetData>
    <x:row r="1">
      <x:c r="A1" s="11" t="str">
        <x:v>lesson_no</x:v>
      </x:c>
      <x:c r="B1" s="11" t="str">
        <x:v>lesson_id</x:v>
      </x:c>
      <x:c r="C1" s="11" t="str">
        <x:v>title_fr_official</x:v>
      </x:c>
      <x:c r="D1" s="11" t="str">
        <x:v>category_code</x:v>
      </x:c>
      <x:c r="E1" s="11" t="str">
        <x:v>subcategory_code</x:v>
      </x:c>
      <x:c r="F1" s="11" t="str">
        <x:v>final_weight_pct</x:v>
      </x:c>
      <x:c r="G1" s="11" t="str">
        <x:v>weight_model_version</x:v>
      </x:c>
      <x:c r="H1" s="11" t="str">
        <x:v>status</x:v>
      </x:c>
      <x:c r="J1" s="11" t="str">
        <x:v>KPI</x:v>
      </x:c>
      <x:c r="K1" s="11" t="str">
        <x:v>Value</x:v>
      </x:c>
    </x:row>
    <x:row r="2">
      <x:c r="A2" t="str">
        <x:v>1</x:v>
      </x:c>
      <x:c r="B2" t="str">
        <x:v>eb643021-d5f2-4093-8fd2-835a2199ef3f</x:v>
      </x:c>
      <x:c r="C2" t="str">
        <x:v>LE VERBE « ÊTRE »</x:v>
      </x:c>
      <x:c r="D2" t="str">
        <x:v>CAT01</x:v>
      </x:c>
      <x:c r="E2" t="str">
        <x:v>SUB01</x:v>
      </x:c>
      <x:c r="F2" s="22" t="n">
        <x:v>2.37</x:v>
      </x:c>
      <x:c r="G2" t="str">
        <x:v>tcf-core-weight-v0.9.0</x:v>
      </x:c>
      <x:c r="H2" t="str">
        <x:v>ACCEPTED_REFERENCE_GOVERNANCE_RESOLVED</x:v>
      </x:c>
      <x:c r="J2" t="str">
        <x:v>Weight Total</x:v>
      </x:c>
      <x:c r="K2" t="n">
        <x:f>SUM(F2:F53)</x:f>
        <x:v>99.99999999999997</x:v>
      </x:c>
    </x:row>
    <x:row r="3">
      <x:c r="A3" t="str">
        <x:v>2</x:v>
      </x:c>
      <x:c r="B3" t="str">
        <x:v>734f4892-3926-439e-b274-85e9d824e225</x:v>
      </x:c>
      <x:c r="C3" t="str">
        <x:v>L’ADJECTIF (1)</x:v>
      </x:c>
      <x:c r="D3" t="str">
        <x:v>CAT06</x:v>
      </x:c>
      <x:c r="E3" t="str">
        <x:v>SUB14</x:v>
      </x:c>
      <x:c r="F3" s="22" t="n">
        <x:v>1.96</x:v>
      </x:c>
      <x:c r="G3" t="str">
        <x:v>tcf-core-weight-v0.9.0</x:v>
      </x:c>
      <x:c r="H3" t="str">
        <x:v>ACCEPTED_REFERENCE_GOVERNANCE_RESOLVED</x:v>
      </x:c>
      <x:c r="J3" t="str">
        <x:v>Expected</x:v>
      </x:c>
      <x:c r="K3" t="str">
        <x:v>100.00</x:v>
      </x:c>
    </x:row>
    <x:row r="4">
      <x:c r="A4" t="str">
        <x:v>3</x:v>
      </x:c>
      <x:c r="B4" t="str">
        <x:v>3dd22b4a-1072-4ca6-91c1-662829b94758</x:v>
      </x:c>
      <x:c r="C4" t="str">
        <x:v>LA NÉGATION et L’INTERROGATION (1)</x:v>
      </x:c>
      <x:c r="D4" t="str">
        <x:v>CAT09</x:v>
      </x:c>
      <x:c r="E4" t="str">
        <x:v>SUB23</x:v>
      </x:c>
      <x:c r="F4" s="22" t="n">
        <x:v>2.33</x:v>
      </x:c>
      <x:c r="G4" t="str">
        <x:v>tcf-core-weight-v0.9.0</x:v>
      </x:c>
      <x:c r="H4" t="str">
        <x:v>ACCEPTED_REFERENCE_GOVERNANCE_RESOLVED</x:v>
      </x:c>
    </x:row>
    <x:row r="5">
      <x:c r="A5" t="str">
        <x:v>4</x:v>
      </x:c>
      <x:c r="B5" t="str">
        <x:v>26acbe21-6e4d-4c22-a0e6-27e27f3bb5ab</x:v>
      </x:c>
      <x:c r="C5" t="str">
        <x:v>LE NOM et L’ARTICLE</x:v>
      </x:c>
      <x:c r="D5" t="str">
        <x:v>CAT05</x:v>
      </x:c>
      <x:c r="E5" t="str">
        <x:v>SUB11</x:v>
      </x:c>
      <x:c r="F5" s="22" t="n">
        <x:v>2.37</x:v>
      </x:c>
      <x:c r="G5" t="str">
        <x:v>tcf-core-weight-v0.9.0</x:v>
      </x:c>
      <x:c r="H5" t="str">
        <x:v>ACCEPTED_REFERENCE_GOVERNANCE_RESOLVED</x:v>
      </x:c>
    </x:row>
    <x:row r="6">
      <x:c r="A6" t="str">
        <x:v>5</x:v>
      </x:c>
      <x:c r="B6" t="str">
        <x:v>99f46643-99ba-428d-bdaf-193d018572cc</x:v>
      </x:c>
      <x:c r="C6" t="str">
        <x:v>« C’EST » et « IL EST »</x:v>
      </x:c>
      <x:c r="D6" t="str">
        <x:v>CAT09</x:v>
      </x:c>
      <x:c r="E6" t="str">
        <x:v>SUB24</x:v>
      </x:c>
      <x:c r="F6" s="22" t="n">
        <x:v>2.05</x:v>
      </x:c>
      <x:c r="G6" t="str">
        <x:v>tcf-core-weight-v0.9.0</x:v>
      </x:c>
      <x:c r="H6" t="str">
        <x:v>ACCEPTED_REFERENCE_GOVERNANCE_RESOLVED</x:v>
      </x:c>
    </x:row>
    <x:row r="7">
      <x:c r="A7" t="str">
        <x:v>6</x:v>
      </x:c>
      <x:c r="B7" t="str">
        <x:v>f07ba2d4-e9cf-441c-ad53-85194d85e1ff</x:v>
      </x:c>
      <x:c r="C7" t="str">
        <x:v>LES POSSESSIFS</x:v>
      </x:c>
      <x:c r="D7" t="str">
        <x:v>CAT05</x:v>
      </x:c>
      <x:c r="E7" t="str">
        <x:v>SUB12</x:v>
      </x:c>
      <x:c r="F7" s="22" t="n">
        <x:v>1.59</x:v>
      </x:c>
      <x:c r="G7" t="str">
        <x:v>tcf-core-weight-v0.9.0</x:v>
      </x:c>
      <x:c r="H7" t="str">
        <x:v>ACCEPTED_REFERENCE_GOVERNANCE_RESOLVED</x:v>
      </x:c>
    </x:row>
    <x:row r="8">
      <x:c r="A8" t="str">
        <x:v>7</x:v>
      </x:c>
      <x:c r="B8" t="str">
        <x:v>4bf7f7a6-29e0-471a-8b5c-3740f60b5c8e</x:v>
      </x:c>
      <x:c r="C8" t="str">
        <x:v>LES NOMS de PARENTÉ et de GROUPE</x:v>
      </x:c>
      <x:c r="D8" t="str">
        <x:v>CAT05</x:v>
      </x:c>
      <x:c r="E8" t="str">
        <x:v>SUB11</x:v>
      </x:c>
      <x:c r="F8" s="22" t="n">
        <x:v>0.94</x:v>
      </x:c>
      <x:c r="G8" t="str">
        <x:v>tcf-core-weight-v0.9.0</x:v>
      </x:c>
      <x:c r="H8" t="str">
        <x:v>ACCEPTED_REFERENCE_GOVERNANCE_RESOLVED</x:v>
      </x:c>
    </x:row>
    <x:row r="9">
      <x:c r="A9" t="str">
        <x:v>8</x:v>
      </x:c>
      <x:c r="B9" t="str">
        <x:v>d68e9726-6d53-4ffb-935c-fd8f24aae9ec</x:v>
      </x:c>
      <x:c r="C9" t="str">
        <x:v>LES DÉMONSTRATIFS</x:v>
      </x:c>
      <x:c r="D9" t="str">
        <x:v>CAT05</x:v>
      </x:c>
      <x:c r="E9" t="str">
        <x:v>SUB12</x:v>
      </x:c>
      <x:c r="F9" s="22" t="n">
        <x:v>1.59</x:v>
      </x:c>
      <x:c r="G9" t="str">
        <x:v>tcf-core-weight-v0.9.0</x:v>
      </x:c>
      <x:c r="H9" t="str">
        <x:v>ACCEPTED_REFERENCE_GOVERNANCE_RESOLVED</x:v>
      </x:c>
    </x:row>
    <x:row r="10">
      <x:c r="A10" t="str">
        <x:v>9</x:v>
      </x:c>
      <x:c r="B10" t="str">
        <x:v>3a93c97f-cdce-4896-98be-892e3354b7fc</x:v>
      </x:c>
      <x:c r="C10" t="str">
        <x:v>« IL Y A » et « C’EST »</x:v>
      </x:c>
      <x:c r="D10" t="str">
        <x:v>CAT09</x:v>
      </x:c>
      <x:c r="E10" t="str">
        <x:v>SUB24</x:v>
      </x:c>
      <x:c r="F10" s="22" t="n">
        <x:v>1.78</x:v>
      </x:c>
      <x:c r="G10" t="str">
        <x:v>tcf-core-weight-v0.9.0</x:v>
      </x:c>
      <x:c r="H10" t="str">
        <x:v>ACCEPTED_REFERENCE_GOVERNANCE_RESOLVED</x:v>
      </x:c>
    </x:row>
    <x:row r="11">
      <x:c r="A11" t="str">
        <x:v>10</x:v>
      </x:c>
      <x:c r="B11" t="str">
        <x:v>988143e8-7e0e-46e1-94a0-f87f7a1267f5</x:v>
      </x:c>
      <x:c r="C11" t="str">
        <x:v>LA SITUATION dans l’ESPACE (1)</x:v>
      </x:c>
      <x:c r="D11" t="str">
        <x:v>CAT08</x:v>
      </x:c>
      <x:c r="E11" t="str">
        <x:v>SUB19</x:v>
      </x:c>
      <x:c r="F11" s="22" t="n">
        <x:v>1.95</x:v>
      </x:c>
      <x:c r="G11" t="str">
        <x:v>tcf-core-weight-v0.9.0</x:v>
      </x:c>
      <x:c r="H11" t="str">
        <x:v>ACCEPTED_REFERENCE_GOVERNANCE_RESOLVED</x:v>
      </x:c>
    </x:row>
    <x:row r="12">
      <x:c r="A12" t="str">
        <x:v>11</x:v>
      </x:c>
      <x:c r="B12" t="str">
        <x:v>a02fe5a3-8336-4749-8b93-f43d0a82948a</x:v>
      </x:c>
      <x:c r="C12" t="str">
        <x:v>LE VERBE « AVOIR »</x:v>
      </x:c>
      <x:c r="D12" t="str">
        <x:v>CAT01</x:v>
      </x:c>
      <x:c r="E12" t="str">
        <x:v>SUB01</x:v>
      </x:c>
      <x:c r="F12" s="22" t="n">
        <x:v>2.29</x:v>
      </x:c>
      <x:c r="G12" t="str">
        <x:v>tcf-core-weight-v0.9.0</x:v>
      </x:c>
      <x:c r="H12" t="str">
        <x:v>ACCEPTED_REFERENCE_GOVERNANCE_RESOLVED</x:v>
      </x:c>
    </x:row>
    <x:row r="13">
      <x:c r="A13" t="str">
        <x:v>12</x:v>
      </x:c>
      <x:c r="B13" t="str">
        <x:v>ec78c6b7-50f2-4fcf-8ecd-63c1a84e5e41</x:v>
      </x:c>
      <x:c r="C13" t="str">
        <x:v>L’ADJECTIF (2)</x:v>
      </x:c>
      <x:c r="D13" t="str">
        <x:v>CAT06</x:v>
      </x:c>
      <x:c r="E13" t="str">
        <x:v>SUB14</x:v>
      </x:c>
      <x:c r="F13" s="22" t="n">
        <x:v>1.57</x:v>
      </x:c>
      <x:c r="G13" t="str">
        <x:v>tcf-core-weight-v0.9.0</x:v>
      </x:c>
      <x:c r="H13" t="str">
        <x:v>ACCEPTED_REFERENCE_GOVERNANCE_RESOLVED</x:v>
      </x:c>
    </x:row>
    <x:row r="14">
      <x:c r="A14" t="str">
        <x:v>13</x:v>
      </x:c>
      <x:c r="B14" t="str">
        <x:v>99f4cbed-373c-4bf4-affd-8eda53373a56</x:v>
      </x:c>
      <x:c r="C14" t="str">
        <x:v>LES NOMBRES</x:v>
      </x:c>
      <x:c r="D14" t="str">
        <x:v>CAT07</x:v>
      </x:c>
      <x:c r="E14" t="str">
        <x:v>SUB17</x:v>
      </x:c>
      <x:c r="F14" s="22" t="n">
        <x:v>1.63</x:v>
      </x:c>
      <x:c r="G14" t="str">
        <x:v>tcf-core-weight-v0.9.0</x:v>
      </x:c>
      <x:c r="H14" t="str">
        <x:v>ACCEPTED_REFERENCE_GOVERNANCE_RESOLVED</x:v>
      </x:c>
    </x:row>
    <x:row r="15">
      <x:c r="A15" t="str">
        <x:v>14</x:v>
      </x:c>
      <x:c r="B15" t="str">
        <x:v>8b0727a3-b94e-4d9d-bb86-9a0045b8685a</x:v>
      </x:c>
      <x:c r="C15" t="str">
        <x:v>LE TEMPS (1)</x:v>
      </x:c>
      <x:c r="D15" t="str">
        <x:v>CAT08</x:v>
      </x:c>
      <x:c r="E15" t="str">
        <x:v>SUB20</x:v>
      </x:c>
      <x:c r="F15" s="22" t="n">
        <x:v>1.87</x:v>
      </x:c>
      <x:c r="G15" t="str">
        <x:v>tcf-core-weight-v0.9.0</x:v>
      </x:c>
      <x:c r="H15" t="str">
        <x:v>ACCEPTED_REFERENCE_GOVERNANCE_RESOLVED</x:v>
      </x:c>
    </x:row>
    <x:row r="16">
      <x:c r="A16" t="str">
        <x:v>15</x:v>
      </x:c>
      <x:c r="B16" t="str">
        <x:v>b182d62b-44dc-4893-b88c-75ef935c0111</x:v>
      </x:c>
      <x:c r="C16" t="str">
        <x:v>LES INDÉFINIS</x:v>
      </x:c>
      <x:c r="D16" t="str">
        <x:v>CAT05</x:v>
      </x:c>
      <x:c r="E16" t="str">
        <x:v>SUB13</x:v>
      </x:c>
      <x:c r="F16" s="22" t="n">
        <x:v>1.72</x:v>
      </x:c>
      <x:c r="G16" t="str">
        <x:v>tcf-core-weight-v0.9.0</x:v>
      </x:c>
      <x:c r="H16" t="str">
        <x:v>ACCEPTED_REFERENCE_GOVERNANCE_RESOLVED</x:v>
      </x:c>
    </x:row>
    <x:row r="17">
      <x:c r="A17" t="str">
        <x:v>16</x:v>
      </x:c>
      <x:c r="B17" t="str">
        <x:v>619fe3c8-586f-4038-8ea0-e5ad5085412d</x:v>
      </x:c>
      <x:c r="C17" t="str">
        <x:v>LES VERBES en « -ER » au PRÉSENT</x:v>
      </x:c>
      <x:c r="D17" t="str">
        <x:v>CAT01</x:v>
      </x:c>
      <x:c r="E17" t="str">
        <x:v>SUB02</x:v>
      </x:c>
      <x:c r="F17" s="22" t="n">
        <x:v>2.46</x:v>
      </x:c>
      <x:c r="G17" t="str">
        <x:v>tcf-core-weight-v0.9.0</x:v>
      </x:c>
      <x:c r="H17" t="str">
        <x:v>ACCEPTED_REFERENCE_GOVERNANCE_RESOLVED</x:v>
      </x:c>
    </x:row>
    <x:row r="18">
      <x:c r="A18" t="str">
        <x:v>17</x:v>
      </x:c>
      <x:c r="B18" t="str">
        <x:v>e3b8941a-3506-4903-b9f5-ede88a288def</x:v>
      </x:c>
      <x:c r="C18" t="str">
        <x:v>LE TEMPS (2)</x:v>
      </x:c>
      <x:c r="D18" t="str">
        <x:v>CAT08</x:v>
      </x:c>
      <x:c r="E18" t="str">
        <x:v>SUB20</x:v>
      </x:c>
      <x:c r="F18" s="22" t="n">
        <x:v>1.87</x:v>
      </x:c>
      <x:c r="G18" t="str">
        <x:v>tcf-core-weight-v0.9.0</x:v>
      </x:c>
      <x:c r="H18" t="str">
        <x:v>ACCEPTED_REFERENCE_GOVERNANCE_RESOLVED</x:v>
      </x:c>
    </x:row>
    <x:row r="19">
      <x:c r="A19" t="str">
        <x:v>18</x:v>
      </x:c>
      <x:c r="B19" t="str">
        <x:v>ec290ee6-f705-4b74-98db-7e4079c54d60</x:v>
      </x:c>
      <x:c r="C19" t="str">
        <x:v>L’ADVERBE</x:v>
      </x:c>
      <x:c r="D19" t="str">
        <x:v>CAT06</x:v>
      </x:c>
      <x:c r="E19" t="str">
        <x:v>SUB15</x:v>
      </x:c>
      <x:c r="F19" s="22" t="n">
        <x:v>2.05</x:v>
      </x:c>
      <x:c r="G19" t="str">
        <x:v>tcf-core-weight-v0.9.0</x:v>
      </x:c>
      <x:c r="H19" t="str">
        <x:v>ACCEPTED_REFERENCE_GOVERNANCE_RESOLVED</x:v>
      </x:c>
    </x:row>
    <x:row r="20">
      <x:c r="A20" t="str">
        <x:v>19</x:v>
      </x:c>
      <x:c r="B20" t="str">
        <x:v>cb9bdbbf-0955-46a6-b979-69203ff4d988</x:v>
      </x:c>
      <x:c r="C20" t="str">
        <x:v>L’EXPRESSION de la QUANTITÉ</x:v>
      </x:c>
      <x:c r="D20" t="str">
        <x:v>CAT07</x:v>
      </x:c>
      <x:c r="E20" t="str">
        <x:v>SUB18</x:v>
      </x:c>
      <x:c r="F20" s="22" t="n">
        <x:v>1.92</x:v>
      </x:c>
      <x:c r="G20" t="str">
        <x:v>tcf-core-weight-v0.9.0</x:v>
      </x:c>
      <x:c r="H20" t="str">
        <x:v>ACCEPTED_REFERENCE_GOVERNANCE_RESOLVED</x:v>
      </x:c>
    </x:row>
    <x:row r="21">
      <x:c r="A21" t="str">
        <x:v>20</x:v>
      </x:c>
      <x:c r="B21" t="str">
        <x:v>dd8aa1ed-067c-4e17-a9db-10d3b630688a</x:v>
      </x:c>
      <x:c r="C21" t="str">
        <x:v>LE PRONOM « EN »</x:v>
      </x:c>
      <x:c r="D21" t="str">
        <x:v>CAT04</x:v>
      </x:c>
      <x:c r="E21" t="str">
        <x:v>SUB08</x:v>
      </x:c>
      <x:c r="F21" s="22" t="n">
        <x:v>2.02</x:v>
      </x:c>
      <x:c r="G21" t="str">
        <x:v>tcf-core-weight-v0.9.0</x:v>
      </x:c>
      <x:c r="H21" t="str">
        <x:v>ACCEPTED_REFERENCE_GOVERNANCE_RESOLVED</x:v>
      </x:c>
    </x:row>
    <x:row r="22">
      <x:c r="A22" t="str">
        <x:v>21</x:v>
      </x:c>
      <x:c r="B22" t="str">
        <x:v>a7d4b7ab-babf-44fd-8d1b-09d273f60704</x:v>
      </x:c>
      <x:c r="C22" t="str">
        <x:v>LA SITUATION dans l’ESPACE (2)</x:v>
      </x:c>
      <x:c r="D22" t="str">
        <x:v>CAT08</x:v>
      </x:c>
      <x:c r="E22" t="str">
        <x:v>SUB19</x:v>
      </x:c>
      <x:c r="F22" s="22" t="n">
        <x:v>1.41</x:v>
      </x:c>
      <x:c r="G22" t="str">
        <x:v>tcf-core-weight-v0.9.0</x:v>
      </x:c>
      <x:c r="H22" t="str">
        <x:v>ACCEPTED_REFERENCE_GOVERNANCE_RESOLVED</x:v>
      </x:c>
    </x:row>
    <x:row r="23">
      <x:c r="A23" t="str">
        <x:v>22</x:v>
      </x:c>
      <x:c r="B23" t="str">
        <x:v>526ffab9-fc9b-4221-997e-e57dfbf9694a</x:v>
      </x:c>
      <x:c r="C23" t="str">
        <x:v>LE COMPARATIF et LE SUPERLATIF</x:v>
      </x:c>
      <x:c r="D23" t="str">
        <x:v>CAT06</x:v>
      </x:c>
      <x:c r="E23" t="str">
        <x:v>SUB16</x:v>
      </x:c>
      <x:c r="F23" s="22" t="n">
        <x:v>1.7</x:v>
      </x:c>
      <x:c r="G23" t="str">
        <x:v>tcf-core-weight-v0.9.0</x:v>
      </x:c>
      <x:c r="H23" t="str">
        <x:v>ACCEPTED_REFERENCE_GOVERNANCE_RESOLVED</x:v>
      </x:c>
    </x:row>
    <x:row r="24">
      <x:c r="A24" t="str">
        <x:v>23</x:v>
      </x:c>
      <x:c r="B24" t="str">
        <x:v>327c43bc-8757-4e51-aff0-9c04775c57cf</x:v>
      </x:c>
      <x:c r="C24" t="str">
        <x:v>LE VERBE « ALLER »</x:v>
      </x:c>
      <x:c r="D24" t="str">
        <x:v>CAT01</x:v>
      </x:c>
      <x:c r="E24" t="str">
        <x:v>SUB01</x:v>
      </x:c>
      <x:c r="F24" s="22" t="n">
        <x:v>2.1</x:v>
      </x:c>
      <x:c r="G24" t="str">
        <x:v>tcf-core-weight-v0.9.0</x:v>
      </x:c>
      <x:c r="H24" t="str">
        <x:v>ACCEPTED_REFERENCE_GOVERNANCE_RESOLVED</x:v>
      </x:c>
    </x:row>
    <x:row r="25">
      <x:c r="A25" t="str">
        <x:v>24</x:v>
      </x:c>
      <x:c r="B25" t="str">
        <x:v>e3b468de-4bc2-4b96-b4dc-0bfa0c3d5a85</x:v>
      </x:c>
      <x:c r="C25" t="str">
        <x:v>LE PRONOM « Y »</x:v>
      </x:c>
      <x:c r="D25" t="str">
        <x:v>CAT04</x:v>
      </x:c>
      <x:c r="E25" t="str">
        <x:v>SUB08</x:v>
      </x:c>
      <x:c r="F25" s="22" t="n">
        <x:v>1.79</x:v>
      </x:c>
      <x:c r="G25" t="str">
        <x:v>tcf-core-weight-v0.9.0</x:v>
      </x:c>
      <x:c r="H25" t="str">
        <x:v>ACCEPTED_REFERENCE_GOVERNANCE_RESOLVED</x:v>
      </x:c>
    </x:row>
    <x:row r="26">
      <x:c r="A26" t="str">
        <x:v>25</x:v>
      </x:c>
      <x:c r="B26" t="str">
        <x:v>aece8fe7-c303-4257-a531-a3d6e0f242de</x:v>
      </x:c>
      <x:c r="C26" t="str">
        <x:v>LA SITUATION dans l’ESPACE et le TEMPS (3)</x:v>
      </x:c>
      <x:c r="D26" t="str">
        <x:v>CAT08</x:v>
      </x:c>
      <x:c r="E26" t="str">
        <x:v>SUB21</x:v>
      </x:c>
      <x:c r="F26" s="22" t="n">
        <x:v>1.64</x:v>
      </x:c>
      <x:c r="G26" t="str">
        <x:v>tcf-core-weight-v0.9.0</x:v>
      </x:c>
      <x:c r="H26" t="str">
        <x:v>ACCEPTED_REFERENCE_GOVERNANCE_RESOLVED</x:v>
      </x:c>
    </x:row>
    <x:row r="27">
      <x:c r="A27" t="str">
        <x:v>26</x:v>
      </x:c>
      <x:c r="B27" t="str">
        <x:v>6ad0bf53-cab8-4037-8548-6e73441d1620</x:v>
      </x:c>
      <x:c r="C27" t="str">
        <x:v>LES VERBES en « -IR », « -OIR » et « -RE » au PRÉSENT</x:v>
      </x:c>
      <x:c r="D27" t="str">
        <x:v>CAT01</x:v>
      </x:c>
      <x:c r="E27" t="str">
        <x:v>SUB02</x:v>
      </x:c>
      <x:c r="F27" s="22" t="n">
        <x:v>2.48</x:v>
      </x:c>
      <x:c r="G27" t="str">
        <x:v>tcf-core-weight-v0.9.0</x:v>
      </x:c>
      <x:c r="H27" t="str">
        <x:v>ACCEPTED_REFERENCE_GOVERNANCE_RESOLVED</x:v>
      </x:c>
    </x:row>
    <x:row r="28">
      <x:c r="A28" t="str">
        <x:v>27</x:v>
      </x:c>
      <x:c r="B28" t="str">
        <x:v>e5bfdde7-6889-4829-ad65-06a572af5f97</x:v>
      </x:c>
      <x:c r="C28" t="str">
        <x:v>LES VERBES PRONOMINAUX</x:v>
      </x:c>
      <x:c r="D28" t="str">
        <x:v>CAT01</x:v>
      </x:c>
      <x:c r="E28" t="str">
        <x:v>SUB03</x:v>
      </x:c>
      <x:c r="F28" s="22" t="n">
        <x:v>2.02</x:v>
      </x:c>
      <x:c r="G28" t="str">
        <x:v>tcf-core-weight-v0.9.0</x:v>
      </x:c>
      <x:c r="H28" t="str">
        <x:v>ACCEPTED_REFERENCE_GOVERNANCE_RESOLVED</x:v>
      </x:c>
    </x:row>
    <x:row r="29">
      <x:c r="A29" t="str">
        <x:v>28</x:v>
      </x:c>
      <x:c r="B29" t="str">
        <x:v>2ad099b6-e9f4-4b96-8883-d88977fc94b4</x:v>
      </x:c>
      <x:c r="C29" t="str">
        <x:v>LES PRONOMS COMPLÉMENTS</x:v>
      </x:c>
      <x:c r="D29" t="str">
        <x:v>CAT04</x:v>
      </x:c>
      <x:c r="E29" t="str">
        <x:v>SUB08</x:v>
      </x:c>
      <x:c r="F29" s="22" t="n">
        <x:v>2.28</x:v>
      </x:c>
      <x:c r="G29" t="str">
        <x:v>tcf-core-weight-v0.9.0</x:v>
      </x:c>
      <x:c r="H29" t="str">
        <x:v>ACCEPTED_REFERENCE_GOVERNANCE_RESOLVED</x:v>
      </x:c>
    </x:row>
    <x:row r="30">
      <x:c r="A30" t="str">
        <x:v>29</x:v>
      </x:c>
      <x:c r="B30" t="str">
        <x:v>0259af3a-8df3-4f28-ad02-62a99368c409</x:v>
      </x:c>
      <x:c r="C30" t="str">
        <x:v>LES PRONOMS TONIQUES</x:v>
      </x:c>
      <x:c r="D30" t="str">
        <x:v>CAT04</x:v>
      </x:c>
      <x:c r="E30" t="str">
        <x:v>SUB09</x:v>
      </x:c>
      <x:c r="F30" s="22" t="n">
        <x:v>1.75</x:v>
      </x:c>
      <x:c r="G30" t="str">
        <x:v>tcf-core-weight-v0.9.0</x:v>
      </x:c>
      <x:c r="H30" t="str">
        <x:v>ACCEPTED_REFERENCE_GOVERNANCE_RESOLVED</x:v>
      </x:c>
    </x:row>
    <x:row r="31">
      <x:c r="A31" t="str">
        <x:v>30</x:v>
      </x:c>
      <x:c r="B31" t="str">
        <x:v>b24408b6-c9b4-4fbc-9b92-ad4d2ae13876</x:v>
      </x:c>
      <x:c r="C31" t="str">
        <x:v>L’IMPÉRATIF</x:v>
      </x:c>
      <x:c r="D31" t="str">
        <x:v>CAT03</x:v>
      </x:c>
      <x:c r="E31" t="str">
        <x:v>SUB06</x:v>
      </x:c>
      <x:c r="F31" s="22" t="n">
        <x:v>1.52</x:v>
      </x:c>
      <x:c r="G31" t="str">
        <x:v>tcf-core-weight-v0.9.0</x:v>
      </x:c>
      <x:c r="H31" t="str">
        <x:v>ACCEPTED_REFERENCE_GOVERNANCE_RESOLVED</x:v>
      </x:c>
    </x:row>
    <x:row r="32">
      <x:c r="A32" t="str">
        <x:v>31</x:v>
      </x:c>
      <x:c r="B32" t="str">
        <x:v>83d883bf-5242-4dc2-bed6-dad1585746db</x:v>
      </x:c>
      <x:c r="C32" t="str">
        <x:v>LE CONDITIONNEL (1)</x:v>
      </x:c>
      <x:c r="D32" t="str">
        <x:v>CAT03</x:v>
      </x:c>
      <x:c r="E32" t="str">
        <x:v>SUB06</x:v>
      </x:c>
      <x:c r="F32" s="22" t="n">
        <x:v>1.93</x:v>
      </x:c>
      <x:c r="G32" t="str">
        <x:v>tcf-core-weight-v0.9.0</x:v>
      </x:c>
      <x:c r="H32" t="str">
        <x:v>ACCEPTED_REFERENCE_GOVERNANCE_RESOLVED</x:v>
      </x:c>
    </x:row>
    <x:row r="33">
      <x:c r="A33" t="str">
        <x:v>32</x:v>
      </x:c>
      <x:c r="B33" t="str">
        <x:v>4ec05ffb-8465-4c5c-9a50-d67136ad0472</x:v>
      </x:c>
      <x:c r="C33" t="str">
        <x:v>LES RELATIFS</x:v>
      </x:c>
      <x:c r="D33" t="str">
        <x:v>CAT04</x:v>
      </x:c>
      <x:c r="E33" t="str">
        <x:v>SUB10</x:v>
      </x:c>
      <x:c r="F33" s="22" t="n">
        <x:v>2.19</x:v>
      </x:c>
      <x:c r="G33" t="str">
        <x:v>tcf-core-weight-v0.9.0</x:v>
      </x:c>
      <x:c r="H33" t="str">
        <x:v>ACCEPTED_REFERENCE_GOVERNANCE_RESOLVED</x:v>
      </x:c>
    </x:row>
    <x:row r="34">
      <x:c r="A34" t="str">
        <x:v>33</x:v>
      </x:c>
      <x:c r="B34" t="str">
        <x:v>1854197b-634e-4db7-893c-7e9b6bcbf004</x:v>
      </x:c>
      <x:c r="C34" t="str">
        <x:v>L’INTERROGATION (2)</x:v>
      </x:c>
      <x:c r="D34" t="str">
        <x:v>CAT09</x:v>
      </x:c>
      <x:c r="E34" t="str">
        <x:v>SUB23</x:v>
      </x:c>
      <x:c r="F34" s="22" t="n">
        <x:v>2.13</x:v>
      </x:c>
      <x:c r="G34" t="str">
        <x:v>tcf-core-weight-v0.9.0</x:v>
      </x:c>
      <x:c r="H34" t="str">
        <x:v>ACCEPTED_REFERENCE_GOVERNANCE_RESOLVED</x:v>
      </x:c>
    </x:row>
    <x:row r="35">
      <x:c r="A35" t="str">
        <x:v>34</x:v>
      </x:c>
      <x:c r="B35" t="str">
        <x:v>7a8563ae-ac42-49d2-bddd-42140c4e5245</x:v>
      </x:c>
      <x:c r="C35" t="str">
        <x:v>LA NÉGATION (2)</x:v>
      </x:c>
      <x:c r="D35" t="str">
        <x:v>CAT09</x:v>
      </x:c>
      <x:c r="E35" t="str">
        <x:v>SUB23</x:v>
      </x:c>
      <x:c r="F35" s="22" t="n">
        <x:v>2.09</x:v>
      </x:c>
      <x:c r="G35" t="str">
        <x:v>tcf-core-weight-v0.9.0</x:v>
      </x:c>
      <x:c r="H35" t="str">
        <x:v>ACCEPTED_REFERENCE_GOVERNANCE_RESOLVED</x:v>
      </x:c>
    </x:row>
    <x:row r="36">
      <x:c r="A36" t="str">
        <x:v>35</x:v>
      </x:c>
      <x:c r="B36" t="str">
        <x:v>83287154-f6ce-4595-a2b2-17537cb9908d</x:v>
      </x:c>
      <x:c r="C36" t="str">
        <x:v>LE DISCOURS INDIRECT au PRÉSENT</x:v>
      </x:c>
      <x:c r="D36" t="str">
        <x:v>CAT10</x:v>
      </x:c>
      <x:c r="E36" t="str">
        <x:v>SUB25</x:v>
      </x:c>
      <x:c r="F36" s="22" t="n">
        <x:v>1.75</x:v>
      </x:c>
      <x:c r="G36" t="str">
        <x:v>tcf-core-weight-v0.9.0</x:v>
      </x:c>
      <x:c r="H36" t="str">
        <x:v>ACCEPTED_REFERENCE_GOVERNANCE_RESOLVED</x:v>
      </x:c>
    </x:row>
    <x:row r="37">
      <x:c r="A37" t="str">
        <x:v>36</x:v>
      </x:c>
      <x:c r="B37" t="str">
        <x:v>03b37cc5-75e7-4209-9322-1f6401df4973</x:v>
      </x:c>
      <x:c r="C37" t="str">
        <x:v>LE GÉRONDIF</x:v>
      </x:c>
      <x:c r="D37" t="str">
        <x:v>CAT03</x:v>
      </x:c>
      <x:c r="E37" t="str">
        <x:v>SUB07</x:v>
      </x:c>
      <x:c r="F37" s="22" t="n">
        <x:v>1.6</x:v>
      </x:c>
      <x:c r="G37" t="str">
        <x:v>tcf-core-weight-v0.9.0</x:v>
      </x:c>
      <x:c r="H37" t="str">
        <x:v>ACCEPTED_REFERENCE_GOVERNANCE_RESOLVED</x:v>
      </x:c>
    </x:row>
    <x:row r="38">
      <x:c r="A38" t="str">
        <x:v>37</x:v>
      </x:c>
      <x:c r="B38" t="str">
        <x:v>7a66cb3a-470c-4ae3-ae32-325cf327c9f9</x:v>
      </x:c>
      <x:c r="C38" t="str">
        <x:v>LES PRÉPOSITIONS et LES VERBES</x:v>
      </x:c>
      <x:c r="D38" t="str">
        <x:v>CAT08</x:v>
      </x:c>
      <x:c r="E38" t="str">
        <x:v>SUB22</x:v>
      </x:c>
      <x:c r="F38" s="22" t="n">
        <x:v>2.19</x:v>
      </x:c>
      <x:c r="G38" t="str">
        <x:v>tcf-core-weight-v0.9.0</x:v>
      </x:c>
      <x:c r="H38" t="str">
        <x:v>ACCEPTED_REFERENCE_GOVERNANCE_RESOLVED</x:v>
      </x:c>
    </x:row>
    <x:row r="39">
      <x:c r="A39" t="str">
        <x:v>38</x:v>
      </x:c>
      <x:c r="B39" t="str">
        <x:v>d138adce-c139-454e-b3a3-1ff9464bd0e8</x:v>
      </x:c>
      <x:c r="C39" t="str">
        <x:v>LES VERBES de DÉPLACEMENT</x:v>
      </x:c>
      <x:c r="D39" t="str">
        <x:v>CAT01</x:v>
      </x:c>
      <x:c r="E39" t="str">
        <x:v>SUB03</x:v>
      </x:c>
      <x:c r="F39" s="22" t="n">
        <x:v>1.74</x:v>
      </x:c>
      <x:c r="G39" t="str">
        <x:v>tcf-core-weight-v0.9.0</x:v>
      </x:c>
      <x:c r="H39" t="str">
        <x:v>ACCEPTED_REFERENCE_GOVERNANCE_RESOLVED</x:v>
      </x:c>
    </x:row>
    <x:row r="40">
      <x:c r="A40" t="str">
        <x:v>39</x:v>
      </x:c>
      <x:c r="B40" t="str">
        <x:v>2cc8ffec-0888-40b2-bb6b-23bb8ebcd4f0</x:v>
      </x:c>
      <x:c r="C40" t="str">
        <x:v>LE FUTUR PROCHE</x:v>
      </x:c>
      <x:c r="D40" t="str">
        <x:v>CAT02</x:v>
      </x:c>
      <x:c r="E40" t="str">
        <x:v>SUB05</x:v>
      </x:c>
      <x:c r="F40" s="22" t="n">
        <x:v>1.78</x:v>
      </x:c>
      <x:c r="G40" t="str">
        <x:v>tcf-core-weight-v0.9.0</x:v>
      </x:c>
      <x:c r="H40" t="str">
        <x:v>ACCEPTED_REFERENCE_GOVERNANCE_RESOLVED</x:v>
      </x:c>
    </x:row>
    <x:row r="41">
      <x:c r="A41" t="str">
        <x:v>40</x:v>
      </x:c>
      <x:c r="B41" t="str">
        <x:v>a2303764-b3c6-4a78-a5eb-287adffcd970</x:v>
      </x:c>
      <x:c r="C41" t="str">
        <x:v>LE PASSÉ COMPOSÉ</x:v>
      </x:c>
      <x:c r="D41" t="str">
        <x:v>CAT02</x:v>
      </x:c>
      <x:c r="E41" t="str">
        <x:v>SUB04</x:v>
      </x:c>
      <x:c r="F41" s="22" t="n">
        <x:v>2.44</x:v>
      </x:c>
      <x:c r="G41" t="str">
        <x:v>tcf-core-weight-v0.9.0</x:v>
      </x:c>
      <x:c r="H41" t="str">
        <x:v>ACCEPTED_REFERENCE_GOVERNANCE_RESOLVED</x:v>
      </x:c>
    </x:row>
    <x:row r="42">
      <x:c r="A42" t="str">
        <x:v>41</x:v>
      </x:c>
      <x:c r="B42" t="str">
        <x:v>61d3b6b5-dd58-4ca4-b78d-521013ae2461</x:v>
      </x:c>
      <x:c r="C42" t="str">
        <x:v>LE TEMPS (3)</x:v>
      </x:c>
      <x:c r="D42" t="str">
        <x:v>CAT08</x:v>
      </x:c>
      <x:c r="E42" t="str">
        <x:v>SUB20</x:v>
      </x:c>
      <x:c r="F42" s="22" t="n">
        <x:v>1.9</x:v>
      </x:c>
      <x:c r="G42" t="str">
        <x:v>tcf-core-weight-v0.9.0</x:v>
      </x:c>
      <x:c r="H42" t="str">
        <x:v>ACCEPTED_REFERENCE_GOVERNANCE_RESOLVED</x:v>
      </x:c>
    </x:row>
    <x:row r="43">
      <x:c r="A43" t="str">
        <x:v>42</x:v>
      </x:c>
      <x:c r="B43" t="str">
        <x:v>79d5da54-9d06-473a-a60c-1c4cb74c38e1</x:v>
      </x:c>
      <x:c r="C43" t="str">
        <x:v>LE PASSIF</x:v>
      </x:c>
      <x:c r="D43" t="str">
        <x:v>CAT03</x:v>
      </x:c>
      <x:c r="E43" t="str">
        <x:v>SUB07</x:v>
      </x:c>
      <x:c r="F43" s="22" t="n">
        <x:v>1.72</x:v>
      </x:c>
      <x:c r="G43" t="str">
        <x:v>tcf-core-weight-v0.9.0</x:v>
      </x:c>
      <x:c r="H43" t="str">
        <x:v>ACCEPTED_REFERENCE_GOVERNANCE_RESOLVED</x:v>
      </x:c>
    </x:row>
    <x:row r="44">
      <x:c r="A44" t="str">
        <x:v>43</x:v>
      </x:c>
      <x:c r="B44" t="str">
        <x:v>1a7369fc-5f96-48eb-9433-a91853b0f074</x:v>
      </x:c>
      <x:c r="C44" t="str">
        <x:v>L’IMPARFAIT</x:v>
      </x:c>
      <x:c r="D44" t="str">
        <x:v>CAT02</x:v>
      </x:c>
      <x:c r="E44" t="str">
        <x:v>SUB04</x:v>
      </x:c>
      <x:c r="F44" s="22" t="n">
        <x:v>2.41</x:v>
      </x:c>
      <x:c r="G44" t="str">
        <x:v>tcf-core-weight-v0.9.0</x:v>
      </x:c>
      <x:c r="H44" t="str">
        <x:v>ACCEPTED_REFERENCE_GOVERNANCE_RESOLVED</x:v>
      </x:c>
    </x:row>
    <x:row r="45">
      <x:c r="A45" t="str">
        <x:v>44</x:v>
      </x:c>
      <x:c r="B45" t="str">
        <x:v>7b460b08-fac3-4f7c-bec0-0e1863fbcca3</x:v>
      </x:c>
      <x:c r="C45" t="str">
        <x:v>LE PLUS-QUE-PARFAIT</x:v>
      </x:c>
      <x:c r="D45" t="str">
        <x:v>CAT02</x:v>
      </x:c>
      <x:c r="E45" t="str">
        <x:v>SUB04</x:v>
      </x:c>
      <x:c r="F45" s="22" t="n">
        <x:v>1.86</x:v>
      </x:c>
      <x:c r="G45" t="str">
        <x:v>tcf-core-weight-v0.9.0</x:v>
      </x:c>
      <x:c r="H45" t="str">
        <x:v>ACCEPTED_REFERENCE_GOVERNANCE_RESOLVED</x:v>
      </x:c>
    </x:row>
    <x:row r="46">
      <x:c r="A46" t="str">
        <x:v>45</x:v>
      </x:c>
      <x:c r="B46" t="str">
        <x:v>ea5e63b4-af5e-438a-b50c-a3d9678296b6</x:v>
      </x:c>
      <x:c r="C46" t="str">
        <x:v>LE DISCOURS INDIRECT au PASSÉ</x:v>
      </x:c>
      <x:c r="D46" t="str">
        <x:v>CAT10</x:v>
      </x:c>
      <x:c r="E46" t="str">
        <x:v>SUB25</x:v>
      </x:c>
      <x:c r="F46" s="22" t="n">
        <x:v>1.57</x:v>
      </x:c>
      <x:c r="G46" t="str">
        <x:v>tcf-core-weight-v0.9.0</x:v>
      </x:c>
      <x:c r="H46" t="str">
        <x:v>ACCEPTED_REFERENCE_GOVERNANCE_RESOLVED</x:v>
      </x:c>
    </x:row>
    <x:row r="47">
      <x:c r="A47" t="str">
        <x:v>46</x:v>
      </x:c>
      <x:c r="B47" t="str">
        <x:v>fa21c54c-eda9-434c-9b4c-af896a3dfde0</x:v>
      </x:c>
      <x:c r="C47" t="str">
        <x:v>« VENIR de », « ÊTRE en TRAIN de », « ÊTRE sur le POINT de »</x:v>
      </x:c>
      <x:c r="D47" t="str">
        <x:v>CAT03</x:v>
      </x:c>
      <x:c r="E47" t="str">
        <x:v>SUB07</x:v>
      </x:c>
      <x:c r="F47" s="22" t="n">
        <x:v>1.47</x:v>
      </x:c>
      <x:c r="G47" t="str">
        <x:v>tcf-core-weight-v0.9.0</x:v>
      </x:c>
      <x:c r="H47" t="str">
        <x:v>ACCEPTED_REFERENCE_GOVERNANCE_RESOLVED</x:v>
      </x:c>
    </x:row>
    <x:row r="48">
      <x:c r="A48" t="str">
        <x:v>47</x:v>
      </x:c>
      <x:c r="B48" t="str">
        <x:v>9452d2bf-3b54-4cbe-9410-2a607d9d9903</x:v>
      </x:c>
      <x:c r="C48" t="str">
        <x:v>LE FUTUR SIMPLE</x:v>
      </x:c>
      <x:c r="D48" t="str">
        <x:v>CAT02</x:v>
      </x:c>
      <x:c r="E48" t="str">
        <x:v>SUB05</x:v>
      </x:c>
      <x:c r="F48" s="22" t="n">
        <x:v>2.16</x:v>
      </x:c>
      <x:c r="G48" t="str">
        <x:v>tcf-core-weight-v0.9.0</x:v>
      </x:c>
      <x:c r="H48" t="str">
        <x:v>ACCEPTED_REFERENCE_GOVERNANCE_RESOLVED</x:v>
      </x:c>
    </x:row>
    <x:row r="49">
      <x:c r="A49" t="str">
        <x:v>48</x:v>
      </x:c>
      <x:c r="B49" t="str">
        <x:v>c8b25314-e54b-4ec5-9a31-41e6af6cfab4</x:v>
      </x:c>
      <x:c r="C49" t="str">
        <x:v>LE FUTUR ANTÉRIEUR</x:v>
      </x:c>
      <x:c r="D49" t="str">
        <x:v>CAT02</x:v>
      </x:c>
      <x:c r="E49" t="str">
        <x:v>SUB05</x:v>
      </x:c>
      <x:c r="F49" s="22" t="n">
        <x:v>1.35</x:v>
      </x:c>
      <x:c r="G49" t="str">
        <x:v>tcf-core-weight-v0.9.0</x:v>
      </x:c>
      <x:c r="H49" t="str">
        <x:v>ACCEPTED_REFERENCE_GOVERNANCE_RESOLVED</x:v>
      </x:c>
    </x:row>
    <x:row r="50">
      <x:c r="A50" t="str">
        <x:v>49</x:v>
      </x:c>
      <x:c r="B50" t="str">
        <x:v>8492c636-b6f3-4368-97df-c4e0387ff946</x:v>
      </x:c>
      <x:c r="C50" t="str">
        <x:v>LE CONDITIONNEL (2)</x:v>
      </x:c>
      <x:c r="D50" t="str">
        <x:v>CAT03</x:v>
      </x:c>
      <x:c r="E50" t="str">
        <x:v>SUB06</x:v>
      </x:c>
      <x:c r="F50" s="22" t="n">
        <x:v>2.04</x:v>
      </x:c>
      <x:c r="G50" t="str">
        <x:v>tcf-core-weight-v0.9.0</x:v>
      </x:c>
      <x:c r="H50" t="str">
        <x:v>ACCEPTED_REFERENCE_GOVERNANCE_RESOLVED</x:v>
      </x:c>
    </x:row>
    <x:row r="51">
      <x:c r="A51" t="str">
        <x:v>50</x:v>
      </x:c>
      <x:c r="B51" t="str">
        <x:v>7292614b-ad5b-496f-836e-1ca257cb80cc</x:v>
      </x:c>
      <x:c r="C51" t="str">
        <x:v>LES HYPOTHÈSES</x:v>
      </x:c>
      <x:c r="D51" t="str">
        <x:v>CAT11</x:v>
      </x:c>
      <x:c r="E51" t="str">
        <x:v>SUB26</x:v>
      </x:c>
      <x:c r="F51" s="22" t="n">
        <x:v>2.19</x:v>
      </x:c>
      <x:c r="G51" t="str">
        <x:v>tcf-core-weight-v0.9.0</x:v>
      </x:c>
      <x:c r="H51" t="str">
        <x:v>ACCEPTED_REFERENCE_GOVERNANCE_RESOLVED</x:v>
      </x:c>
    </x:row>
    <x:row r="52">
      <x:c r="A52" t="str">
        <x:v>51</x:v>
      </x:c>
      <x:c r="B52" t="str">
        <x:v>5a20dade-1724-4c8a-887c-14dee287c1a2</x:v>
      </x:c>
      <x:c r="C52" t="str">
        <x:v>LE SUBJONCTIF</x:v>
      </x:c>
      <x:c r="D52" t="str">
        <x:v>CAT03</x:v>
      </x:c>
      <x:c r="E52" t="str">
        <x:v>SUB06</x:v>
      </x:c>
      <x:c r="F52" s="22" t="n">
        <x:v>2.24</x:v>
      </x:c>
      <x:c r="G52" t="str">
        <x:v>tcf-core-weight-v0.9.0</x:v>
      </x:c>
      <x:c r="H52" t="str">
        <x:v>ACCEPTED_REFERENCE_GOVERNANCE_RESOLVED</x:v>
      </x:c>
    </x:row>
    <x:row r="53">
      <x:c r="A53" t="str">
        <x:v>52</x:v>
      </x:c>
      <x:c r="B53" t="str">
        <x:v>f0a5d28c-4b03-42c8-bd92-0708737ab3f1</x:v>
      </x:c>
      <x:c r="C53" t="str">
        <x:v>LES RELATIONS LOGIQUES</x:v>
      </x:c>
      <x:c r="D53" t="str">
        <x:v>CAT11</x:v>
      </x:c>
      <x:c r="E53" t="str">
        <x:v>SUB27</x:v>
      </x:c>
      <x:c r="F53" s="22" t="n">
        <x:v>2.23</x:v>
      </x:c>
      <x:c r="G53" t="str">
        <x:v>tcf-core-weight-v0.9.0</x:v>
      </x:c>
      <x:c r="H53" t="str">
        <x:v>ACCEPTED_REFERENCE_GOVERNANCE_RESOLVED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8" hidden="0" customWidth="1"/>
    <x:col min="4" max="4" width="14" hidden="0" customWidth="1"/>
    <x:col min="5" max="5" width="14" hidden="0" customWidth="1"/>
    <x:col min="6" max="6" width="17" hidden="0" customWidth="1"/>
    <x:col min="7" max="7" width="14" hidden="0" customWidth="1"/>
    <x:col min="8" max="8" width="12" hidden="0" customWidth="1"/>
  </x:cols>
  <x:sheetData>
    <x:row r="1">
      <x:c r="A1" s="11" t="str">
        <x:v>lesson_no</x:v>
      </x:c>
      <x:c r="B1" s="11" t="str">
        <x:v>lesson_id</x:v>
      </x:c>
      <x:c r="C1" s="11" t="str">
        <x:v>title_fr_official</x:v>
      </x:c>
      <x:c r="D1" s="11" t="str">
        <x:v>final_weight_pct</x:v>
      </x:c>
      <x:c r="E1" s="11" t="str">
        <x:v>target_full</x:v>
      </x:c>
      <x:c r="F1" s="11" t="str">
        <x:v>target_expanded</x:v>
      </x:c>
      <x:c r="G1" s="11" t="str">
        <x:v>target_mvp</x:v>
      </x:c>
      <x:c r="H1" s="11" t="str">
        <x:v>status</x:v>
      </x:c>
      <x:c r="J1" s="11" t="str">
        <x:v>Config</x:v>
      </x:c>
      <x:c r="K1" s="11" t="str">
        <x:v>Value</x:v>
      </x:c>
    </x:row>
    <x:row r="2">
      <x:c r="A2" t="str">
        <x:v>1</x:v>
      </x:c>
      <x:c r="B2" t="str">
        <x:v>eb643021-d5f2-4093-8fd2-835a2199ef3f</x:v>
      </x:c>
      <x:c r="C2" t="str">
        <x:v>LE VERBE « ÊTRE »</x:v>
      </x:c>
      <x:c r="D2" t="n">
        <x:v>2.37</x:v>
      </x:c>
      <x:c r="E2" t="n">
        <x:f>ROUND($K$2*D2/$K$3,0)</x:f>
        <x:v>252</x:v>
      </x:c>
      <x:c r="F2" t="n">
        <x:f>ROUND(E2*$K$4,0)</x:f>
        <x:v>126</x:v>
      </x:c>
      <x:c r="G2" t="n">
        <x:f>ROUND(E2*$K$5,0)</x:f>
        <x:v>63</x:v>
      </x:c>
      <x:c r="H2" t="str">
        <x:v>PASS</x:v>
      </x:c>
      <x:c r="J2" t="str">
        <x:v>BaseMin</x:v>
      </x:c>
      <x:c r="K2" t="n">
        <x:v>100</x:v>
      </x:c>
    </x:row>
    <x:row r="3">
      <x:c r="A3" t="str">
        <x:v>2</x:v>
      </x:c>
      <x:c r="B3" t="str">
        <x:v>734f4892-3926-439e-b274-85e9d824e225</x:v>
      </x:c>
      <x:c r="C3" t="str">
        <x:v>L’ADJECTIF (1)</x:v>
      </x:c>
      <x:c r="D3" t="n">
        <x:v>1.96</x:v>
      </x:c>
      <x:c r="E3" t="n">
        <x:f>ROUND($K$2*D3/$K$3,0)</x:f>
        <x:v>209</x:v>
      </x:c>
      <x:c r="F3" t="n">
        <x:f>ROUND(E3*$K$4,0)</x:f>
        <x:v>105</x:v>
      </x:c>
      <x:c r="G3" t="n">
        <x:f>ROUND(E3*$K$5,0)</x:f>
        <x:v>52</x:v>
      </x:c>
      <x:c r="H3" t="str">
        <x:v>PASS</x:v>
      </x:c>
      <x:c r="J3" t="str">
        <x:v>MinActiveWeightPct</x:v>
      </x:c>
      <x:c r="K3" t="n">
        <x:v>0.94</x:v>
      </x:c>
    </x:row>
    <x:row r="4">
      <x:c r="A4" t="str">
        <x:v>3</x:v>
      </x:c>
      <x:c r="B4" t="str">
        <x:v>3dd22b4a-1072-4ca6-91c1-662829b94758</x:v>
      </x:c>
      <x:c r="C4" t="str">
        <x:v>LA NÉGATION et L’INTERROGATION (1)</x:v>
      </x:c>
      <x:c r="D4" t="n">
        <x:v>2.33</x:v>
      </x:c>
      <x:c r="E4" t="n">
        <x:f>ROUND($K$2*D4/$K$3,0)</x:f>
        <x:v>248</x:v>
      </x:c>
      <x:c r="F4" t="n">
        <x:f>ROUND(E4*$K$4,0)</x:f>
        <x:v>124</x:v>
      </x:c>
      <x:c r="G4" t="n">
        <x:f>ROUND(E4*$K$5,0)</x:f>
        <x:v>62</x:v>
      </x:c>
      <x:c r="H4" t="str">
        <x:v>PASS</x:v>
      </x:c>
      <x:c r="J4" t="str">
        <x:v>ExpandedFraction</x:v>
      </x:c>
      <x:c r="K4" t="n">
        <x:v>0.5</x:v>
      </x:c>
    </x:row>
    <x:row r="5">
      <x:c r="A5" t="str">
        <x:v>4</x:v>
      </x:c>
      <x:c r="B5" t="str">
        <x:v>26acbe21-6e4d-4c22-a0e6-27e27f3bb5ab</x:v>
      </x:c>
      <x:c r="C5" t="str">
        <x:v>LE NOM et L’ARTICLE</x:v>
      </x:c>
      <x:c r="D5" t="n">
        <x:v>2.37</x:v>
      </x:c>
      <x:c r="E5" t="n">
        <x:f>ROUND($K$2*D5/$K$3,0)</x:f>
        <x:v>252</x:v>
      </x:c>
      <x:c r="F5" t="n">
        <x:f>ROUND(E5*$K$4,0)</x:f>
        <x:v>126</x:v>
      </x:c>
      <x:c r="G5" t="n">
        <x:f>ROUND(E5*$K$5,0)</x:f>
        <x:v>63</x:v>
      </x:c>
      <x:c r="H5" t="str">
        <x:v>PASS</x:v>
      </x:c>
      <x:c r="J5" t="str">
        <x:v>MVPFraction</x:v>
      </x:c>
      <x:c r="K5" t="n">
        <x:v>0.25</x:v>
      </x:c>
    </x:row>
    <x:row r="6">
      <x:c r="A6" t="str">
        <x:v>5</x:v>
      </x:c>
      <x:c r="B6" t="str">
        <x:v>99f46643-99ba-428d-bdaf-193d018572cc</x:v>
      </x:c>
      <x:c r="C6" t="str">
        <x:v>« C’EST » et « IL EST »</x:v>
      </x:c>
      <x:c r="D6" t="n">
        <x:v>2.05</x:v>
      </x:c>
      <x:c r="E6" t="n">
        <x:f>ROUND($K$2*D6/$K$3,0)</x:f>
        <x:v>218</x:v>
      </x:c>
      <x:c r="F6" t="n">
        <x:f>ROUND(E6*$K$4,0)</x:f>
        <x:v>109</x:v>
      </x:c>
      <x:c r="G6" t="n">
        <x:f>ROUND(E6*$K$5,0)</x:f>
        <x:v>55</x:v>
      </x:c>
      <x:c r="H6" t="str">
        <x:v>PASS</x:v>
      </x:c>
    </x:row>
    <x:row r="7">
      <x:c r="A7" t="str">
        <x:v>6</x:v>
      </x:c>
      <x:c r="B7" t="str">
        <x:v>f07ba2d4-e9cf-441c-ad53-85194d85e1ff</x:v>
      </x:c>
      <x:c r="C7" t="str">
        <x:v>LES POSSESSIFS</x:v>
      </x:c>
      <x:c r="D7" t="n">
        <x:v>1.59</x:v>
      </x:c>
      <x:c r="E7" t="n">
        <x:f>ROUND($K$2*D7/$K$3,0)</x:f>
        <x:v>169</x:v>
      </x:c>
      <x:c r="F7" t="n">
        <x:f>ROUND(E7*$K$4,0)</x:f>
        <x:v>85</x:v>
      </x:c>
      <x:c r="G7" t="n">
        <x:f>ROUND(E7*$K$5,0)</x:f>
        <x:v>42</x:v>
      </x:c>
      <x:c r="H7" t="str">
        <x:v>PASS</x:v>
      </x:c>
      <x:c r="J7" s="11" t="str">
        <x:v>KPI</x:v>
      </x:c>
      <x:c r="K7" s="11" t="str">
        <x:v>Value</x:v>
      </x:c>
    </x:row>
    <x:row r="8">
      <x:c r="A8" t="str">
        <x:v>7</x:v>
      </x:c>
      <x:c r="B8" t="str">
        <x:v>4bf7f7a6-29e0-471a-8b5c-3740f60b5c8e</x:v>
      </x:c>
      <x:c r="C8" t="str">
        <x:v>LES NOMS de PARENTÉ et de GROUPE</x:v>
      </x:c>
      <x:c r="D8" t="n">
        <x:v>0.94</x:v>
      </x:c>
      <x:c r="E8" t="n">
        <x:f>ROUND($K$2*D8/$K$3,0)</x:f>
        <x:v>100</x:v>
      </x:c>
      <x:c r="F8" t="n">
        <x:f>ROUND(E8*$K$4,0)</x:f>
        <x:v>50</x:v>
      </x:c>
      <x:c r="G8" t="n">
        <x:f>ROUND(E8*$K$5,0)</x:f>
        <x:v>25</x:v>
      </x:c>
      <x:c r="H8" t="str">
        <x:v>PASS</x:v>
      </x:c>
      <x:c r="J8" t="str">
        <x:v>Full Total</x:v>
      </x:c>
      <x:c r="K8" t="n">
        <x:f>SUM(E2:E53)</x:f>
        <x:v>10636</x:v>
      </x:c>
    </x:row>
    <x:row r="9">
      <x:c r="A9" t="str">
        <x:v>8</x:v>
      </x:c>
      <x:c r="B9" t="str">
        <x:v>d68e9726-6d53-4ffb-935c-fd8f24aae9ec</x:v>
      </x:c>
      <x:c r="C9" t="str">
        <x:v>LES DÉMONSTRATIFS</x:v>
      </x:c>
      <x:c r="D9" t="n">
        <x:v>1.59</x:v>
      </x:c>
      <x:c r="E9" t="n">
        <x:f>ROUND($K$2*D9/$K$3,0)</x:f>
        <x:v>169</x:v>
      </x:c>
      <x:c r="F9" t="n">
        <x:f>ROUND(E9*$K$4,0)</x:f>
        <x:v>85</x:v>
      </x:c>
      <x:c r="G9" t="n">
        <x:f>ROUND(E9*$K$5,0)</x:f>
        <x:v>42</x:v>
      </x:c>
      <x:c r="H9" t="str">
        <x:v>PASS</x:v>
      </x:c>
      <x:c r="J9" t="str">
        <x:v>Expanded Total</x:v>
      </x:c>
      <x:c r="K9" t="n">
        <x:f>SUM(F2:F53)</x:f>
        <x:v>5331</x:v>
      </x:c>
    </x:row>
    <x:row r="10">
      <x:c r="A10" t="str">
        <x:v>9</x:v>
      </x:c>
      <x:c r="B10" t="str">
        <x:v>3a93c97f-cdce-4896-98be-892e3354b7fc</x:v>
      </x:c>
      <x:c r="C10" t="str">
        <x:v>« IL Y A » et « C’EST »</x:v>
      </x:c>
      <x:c r="D10" t="n">
        <x:v>1.78</x:v>
      </x:c>
      <x:c r="E10" t="n">
        <x:f>ROUND($K$2*D10/$K$3,0)</x:f>
        <x:v>189</x:v>
      </x:c>
      <x:c r="F10" t="n">
        <x:f>ROUND(E10*$K$4,0)</x:f>
        <x:v>95</x:v>
      </x:c>
      <x:c r="G10" t="n">
        <x:f>ROUND(E10*$K$5,0)</x:f>
        <x:v>47</x:v>
      </x:c>
      <x:c r="H10" t="str">
        <x:v>PASS</x:v>
      </x:c>
      <x:c r="J10" t="str">
        <x:v>MVP Total</x:v>
      </x:c>
      <x:c r="K10" t="n">
        <x:f>SUM(G2:G53)</x:f>
        <x:v>2666</x:v>
      </x:c>
    </x:row>
    <x:row r="11">
      <x:c r="A11" t="str">
        <x:v>10</x:v>
      </x:c>
      <x:c r="B11" t="str">
        <x:v>988143e8-7e0e-46e1-94a0-f87f7a1267f5</x:v>
      </x:c>
      <x:c r="C11" t="str">
        <x:v>LA SITUATION dans l’ESPACE (1)</x:v>
      </x:c>
      <x:c r="D11" t="n">
        <x:v>1.95</x:v>
      </x:c>
      <x:c r="E11" t="n">
        <x:f>ROUND($K$2*D11/$K$3,0)</x:f>
        <x:v>207</x:v>
      </x:c>
      <x:c r="F11" t="n">
        <x:f>ROUND(E11*$K$4,0)</x:f>
        <x:v>104</x:v>
      </x:c>
      <x:c r="G11" t="n">
        <x:f>ROUND(E11*$K$5,0)</x:f>
        <x:v>52</x:v>
      </x:c>
      <x:c r="H11" t="str">
        <x:v>PASS</x:v>
      </x:c>
    </x:row>
    <x:row r="12">
      <x:c r="A12" t="str">
        <x:v>11</x:v>
      </x:c>
      <x:c r="B12" t="str">
        <x:v>a02fe5a3-8336-4749-8b93-f43d0a82948a</x:v>
      </x:c>
      <x:c r="C12" t="str">
        <x:v>LE VERBE « AVOIR »</x:v>
      </x:c>
      <x:c r="D12" t="n">
        <x:v>2.29</x:v>
      </x:c>
      <x:c r="E12" t="n">
        <x:f>ROUND($K$2*D12/$K$3,0)</x:f>
        <x:v>244</x:v>
      </x:c>
      <x:c r="F12" t="n">
        <x:f>ROUND(E12*$K$4,0)</x:f>
        <x:v>122</x:v>
      </x:c>
      <x:c r="G12" t="n">
        <x:f>ROUND(E12*$K$5,0)</x:f>
        <x:v>61</x:v>
      </x:c>
      <x:c r="H12" t="str">
        <x:v>PASS</x:v>
      </x:c>
    </x:row>
    <x:row r="13">
      <x:c r="A13" t="str">
        <x:v>12</x:v>
      </x:c>
      <x:c r="B13" t="str">
        <x:v>ec78c6b7-50f2-4fcf-8ecd-63c1a84e5e41</x:v>
      </x:c>
      <x:c r="C13" t="str">
        <x:v>L’ADJECTIF (2)</x:v>
      </x:c>
      <x:c r="D13" t="n">
        <x:v>1.57</x:v>
      </x:c>
      <x:c r="E13" t="n">
        <x:f>ROUND($K$2*D13/$K$3,0)</x:f>
        <x:v>167</x:v>
      </x:c>
      <x:c r="F13" t="n">
        <x:f>ROUND(E13*$K$4,0)</x:f>
        <x:v>84</x:v>
      </x:c>
      <x:c r="G13" t="n">
        <x:f>ROUND(E13*$K$5,0)</x:f>
        <x:v>42</x:v>
      </x:c>
      <x:c r="H13" t="str">
        <x:v>PASS</x:v>
      </x:c>
    </x:row>
    <x:row r="14">
      <x:c r="A14" t="str">
        <x:v>13</x:v>
      </x:c>
      <x:c r="B14" t="str">
        <x:v>99f4cbed-373c-4bf4-affd-8eda53373a56</x:v>
      </x:c>
      <x:c r="C14" t="str">
        <x:v>LES NOMBRES</x:v>
      </x:c>
      <x:c r="D14" t="n">
        <x:v>1.63</x:v>
      </x:c>
      <x:c r="E14" t="n">
        <x:f>ROUND($K$2*D14/$K$3,0)</x:f>
        <x:v>173</x:v>
      </x:c>
      <x:c r="F14" t="n">
        <x:f>ROUND(E14*$K$4,0)</x:f>
        <x:v>87</x:v>
      </x:c>
      <x:c r="G14" t="n">
        <x:f>ROUND(E14*$K$5,0)</x:f>
        <x:v>43</x:v>
      </x:c>
      <x:c r="H14" t="str">
        <x:v>PASS</x:v>
      </x:c>
    </x:row>
    <x:row r="15">
      <x:c r="A15" t="str">
        <x:v>14</x:v>
      </x:c>
      <x:c r="B15" t="str">
        <x:v>8b0727a3-b94e-4d9d-bb86-9a0045b8685a</x:v>
      </x:c>
      <x:c r="C15" t="str">
        <x:v>LE TEMPS (1)</x:v>
      </x:c>
      <x:c r="D15" t="n">
        <x:v>1.87</x:v>
      </x:c>
      <x:c r="E15" t="n">
        <x:f>ROUND($K$2*D15/$K$3,0)</x:f>
        <x:v>199</x:v>
      </x:c>
      <x:c r="F15" t="n">
        <x:f>ROUND(E15*$K$4,0)</x:f>
        <x:v>100</x:v>
      </x:c>
      <x:c r="G15" t="n">
        <x:f>ROUND(E15*$K$5,0)</x:f>
        <x:v>50</x:v>
      </x:c>
      <x:c r="H15" t="str">
        <x:v>PASS</x:v>
      </x:c>
    </x:row>
    <x:row r="16">
      <x:c r="A16" t="str">
        <x:v>15</x:v>
      </x:c>
      <x:c r="B16" t="str">
        <x:v>b182d62b-44dc-4893-b88c-75ef935c0111</x:v>
      </x:c>
      <x:c r="C16" t="str">
        <x:v>LES INDÉFINIS</x:v>
      </x:c>
      <x:c r="D16" t="n">
        <x:v>1.72</x:v>
      </x:c>
      <x:c r="E16" t="n">
        <x:f>ROUND($K$2*D16/$K$3,0)</x:f>
        <x:v>183</x:v>
      </x:c>
      <x:c r="F16" t="n">
        <x:f>ROUND(E16*$K$4,0)</x:f>
        <x:v>92</x:v>
      </x:c>
      <x:c r="G16" t="n">
        <x:f>ROUND(E16*$K$5,0)</x:f>
        <x:v>46</x:v>
      </x:c>
      <x:c r="H16" t="str">
        <x:v>PASS</x:v>
      </x:c>
    </x:row>
    <x:row r="17">
      <x:c r="A17" t="str">
        <x:v>16</x:v>
      </x:c>
      <x:c r="B17" t="str">
        <x:v>619fe3c8-586f-4038-8ea0-e5ad5085412d</x:v>
      </x:c>
      <x:c r="C17" t="str">
        <x:v>LES VERBES en « -ER » au PRÉSENT</x:v>
      </x:c>
      <x:c r="D17" t="n">
        <x:v>2.46</x:v>
      </x:c>
      <x:c r="E17" t="n">
        <x:f>ROUND($K$2*D17/$K$3,0)</x:f>
        <x:v>262</x:v>
      </x:c>
      <x:c r="F17" t="n">
        <x:f>ROUND(E17*$K$4,0)</x:f>
        <x:v>131</x:v>
      </x:c>
      <x:c r="G17" t="n">
        <x:f>ROUND(E17*$K$5,0)</x:f>
        <x:v>66</x:v>
      </x:c>
      <x:c r="H17" t="str">
        <x:v>PASS</x:v>
      </x:c>
    </x:row>
    <x:row r="18">
      <x:c r="A18" t="str">
        <x:v>17</x:v>
      </x:c>
      <x:c r="B18" t="str">
        <x:v>e3b8941a-3506-4903-b9f5-ede88a288def</x:v>
      </x:c>
      <x:c r="C18" t="str">
        <x:v>LE TEMPS (2)</x:v>
      </x:c>
      <x:c r="D18" t="n">
        <x:v>1.87</x:v>
      </x:c>
      <x:c r="E18" t="n">
        <x:f>ROUND($K$2*D18/$K$3,0)</x:f>
        <x:v>199</x:v>
      </x:c>
      <x:c r="F18" t="n">
        <x:f>ROUND(E18*$K$4,0)</x:f>
        <x:v>100</x:v>
      </x:c>
      <x:c r="G18" t="n">
        <x:f>ROUND(E18*$K$5,0)</x:f>
        <x:v>50</x:v>
      </x:c>
      <x:c r="H18" t="str">
        <x:v>PASS</x:v>
      </x:c>
    </x:row>
    <x:row r="19">
      <x:c r="A19" t="str">
        <x:v>18</x:v>
      </x:c>
      <x:c r="B19" t="str">
        <x:v>ec290ee6-f705-4b74-98db-7e4079c54d60</x:v>
      </x:c>
      <x:c r="C19" t="str">
        <x:v>L’ADVERBE</x:v>
      </x:c>
      <x:c r="D19" t="n">
        <x:v>2.05</x:v>
      </x:c>
      <x:c r="E19" t="n">
        <x:f>ROUND($K$2*D19/$K$3,0)</x:f>
        <x:v>218</x:v>
      </x:c>
      <x:c r="F19" t="n">
        <x:f>ROUND(E19*$K$4,0)</x:f>
        <x:v>109</x:v>
      </x:c>
      <x:c r="G19" t="n">
        <x:f>ROUND(E19*$K$5,0)</x:f>
        <x:v>55</x:v>
      </x:c>
      <x:c r="H19" t="str">
        <x:v>PASS</x:v>
      </x:c>
    </x:row>
    <x:row r="20">
      <x:c r="A20" t="str">
        <x:v>19</x:v>
      </x:c>
      <x:c r="B20" t="str">
        <x:v>cb9bdbbf-0955-46a6-b979-69203ff4d988</x:v>
      </x:c>
      <x:c r="C20" t="str">
        <x:v>L’EXPRESSION de la QUANTITÉ</x:v>
      </x:c>
      <x:c r="D20" t="n">
        <x:v>1.92</x:v>
      </x:c>
      <x:c r="E20" t="n">
        <x:f>ROUND($K$2*D20/$K$3,0)</x:f>
        <x:v>204</x:v>
      </x:c>
      <x:c r="F20" t="n">
        <x:f>ROUND(E20*$K$4,0)</x:f>
        <x:v>102</x:v>
      </x:c>
      <x:c r="G20" t="n">
        <x:f>ROUND(E20*$K$5,0)</x:f>
        <x:v>51</x:v>
      </x:c>
      <x:c r="H20" t="str">
        <x:v>PASS</x:v>
      </x:c>
    </x:row>
    <x:row r="21">
      <x:c r="A21" t="str">
        <x:v>20</x:v>
      </x:c>
      <x:c r="B21" t="str">
        <x:v>dd8aa1ed-067c-4e17-a9db-10d3b630688a</x:v>
      </x:c>
      <x:c r="C21" t="str">
        <x:v>LE PRONOM « EN »</x:v>
      </x:c>
      <x:c r="D21" t="n">
        <x:v>2.02</x:v>
      </x:c>
      <x:c r="E21" t="n">
        <x:f>ROUND($K$2*D21/$K$3,0)</x:f>
        <x:v>215</x:v>
      </x:c>
      <x:c r="F21" t="n">
        <x:f>ROUND(E21*$K$4,0)</x:f>
        <x:v>108</x:v>
      </x:c>
      <x:c r="G21" t="n">
        <x:f>ROUND(E21*$K$5,0)</x:f>
        <x:v>54</x:v>
      </x:c>
      <x:c r="H21" t="str">
        <x:v>PASS</x:v>
      </x:c>
    </x:row>
    <x:row r="22">
      <x:c r="A22" t="str">
        <x:v>21</x:v>
      </x:c>
      <x:c r="B22" t="str">
        <x:v>a7d4b7ab-babf-44fd-8d1b-09d273f60704</x:v>
      </x:c>
      <x:c r="C22" t="str">
        <x:v>LA SITUATION dans l’ESPACE (2)</x:v>
      </x:c>
      <x:c r="D22" t="n">
        <x:v>1.41</x:v>
      </x:c>
      <x:c r="E22" t="n">
        <x:f>ROUND($K$2*D22/$K$3,0)</x:f>
        <x:v>150</x:v>
      </x:c>
      <x:c r="F22" t="n">
        <x:f>ROUND(E22*$K$4,0)</x:f>
        <x:v>75</x:v>
      </x:c>
      <x:c r="G22" t="n">
        <x:f>ROUND(E22*$K$5,0)</x:f>
        <x:v>38</x:v>
      </x:c>
      <x:c r="H22" t="str">
        <x:v>PASS</x:v>
      </x:c>
    </x:row>
    <x:row r="23">
      <x:c r="A23" t="str">
        <x:v>22</x:v>
      </x:c>
      <x:c r="B23" t="str">
        <x:v>526ffab9-fc9b-4221-997e-e57dfbf9694a</x:v>
      </x:c>
      <x:c r="C23" t="str">
        <x:v>LE COMPARATIF et LE SUPERLATIF</x:v>
      </x:c>
      <x:c r="D23" t="n">
        <x:v>1.7</x:v>
      </x:c>
      <x:c r="E23" t="n">
        <x:f>ROUND($K$2*D23/$K$3,0)</x:f>
        <x:v>181</x:v>
      </x:c>
      <x:c r="F23" t="n">
        <x:f>ROUND(E23*$K$4,0)</x:f>
        <x:v>91</x:v>
      </x:c>
      <x:c r="G23" t="n">
        <x:f>ROUND(E23*$K$5,0)</x:f>
        <x:v>45</x:v>
      </x:c>
      <x:c r="H23" t="str">
        <x:v>PASS</x:v>
      </x:c>
    </x:row>
    <x:row r="24">
      <x:c r="A24" t="str">
        <x:v>23</x:v>
      </x:c>
      <x:c r="B24" t="str">
        <x:v>327c43bc-8757-4e51-aff0-9c04775c57cf</x:v>
      </x:c>
      <x:c r="C24" t="str">
        <x:v>LE VERBE « ALLER »</x:v>
      </x:c>
      <x:c r="D24" t="n">
        <x:v>2.1</x:v>
      </x:c>
      <x:c r="E24" t="n">
        <x:f>ROUND($K$2*D24/$K$3,0)</x:f>
        <x:v>223</x:v>
      </x:c>
      <x:c r="F24" t="n">
        <x:f>ROUND(E24*$K$4,0)</x:f>
        <x:v>112</x:v>
      </x:c>
      <x:c r="G24" t="n">
        <x:f>ROUND(E24*$K$5,0)</x:f>
        <x:v>56</x:v>
      </x:c>
      <x:c r="H24" t="str">
        <x:v>PASS</x:v>
      </x:c>
    </x:row>
    <x:row r="25">
      <x:c r="A25" t="str">
        <x:v>24</x:v>
      </x:c>
      <x:c r="B25" t="str">
        <x:v>e3b468de-4bc2-4b96-b4dc-0bfa0c3d5a85</x:v>
      </x:c>
      <x:c r="C25" t="str">
        <x:v>LE PRONOM « Y »</x:v>
      </x:c>
      <x:c r="D25" t="n">
        <x:v>1.79</x:v>
      </x:c>
      <x:c r="E25" t="n">
        <x:f>ROUND($K$2*D25/$K$3,0)</x:f>
        <x:v>190</x:v>
      </x:c>
      <x:c r="F25" t="n">
        <x:f>ROUND(E25*$K$4,0)</x:f>
        <x:v>95</x:v>
      </x:c>
      <x:c r="G25" t="n">
        <x:f>ROUND(E25*$K$5,0)</x:f>
        <x:v>48</x:v>
      </x:c>
      <x:c r="H25" t="str">
        <x:v>PASS</x:v>
      </x:c>
    </x:row>
    <x:row r="26">
      <x:c r="A26" t="str">
        <x:v>25</x:v>
      </x:c>
      <x:c r="B26" t="str">
        <x:v>aece8fe7-c303-4257-a531-a3d6e0f242de</x:v>
      </x:c>
      <x:c r="C26" t="str">
        <x:v>LA SITUATION dans l’ESPACE et le TEMPS (3)</x:v>
      </x:c>
      <x:c r="D26" t="n">
        <x:v>1.64</x:v>
      </x:c>
      <x:c r="E26" t="n">
        <x:f>ROUND($K$2*D26/$K$3,0)</x:f>
        <x:v>174</x:v>
      </x:c>
      <x:c r="F26" t="n">
        <x:f>ROUND(E26*$K$4,0)</x:f>
        <x:v>87</x:v>
      </x:c>
      <x:c r="G26" t="n">
        <x:f>ROUND(E26*$K$5,0)</x:f>
        <x:v>44</x:v>
      </x:c>
      <x:c r="H26" t="str">
        <x:v>PASS</x:v>
      </x:c>
    </x:row>
    <x:row r="27">
      <x:c r="A27" t="str">
        <x:v>26</x:v>
      </x:c>
      <x:c r="B27" t="str">
        <x:v>6ad0bf53-cab8-4037-8548-6e73441d1620</x:v>
      </x:c>
      <x:c r="C27" t="str">
        <x:v>LES VERBES en « -IR », « -OIR » et « -RE » au PRÉSENT</x:v>
      </x:c>
      <x:c r="D27" t="n">
        <x:v>2.48</x:v>
      </x:c>
      <x:c r="E27" t="n">
        <x:f>ROUND($K$2*D27/$K$3,0)</x:f>
        <x:v>264</x:v>
      </x:c>
      <x:c r="F27" t="n">
        <x:f>ROUND(E27*$K$4,0)</x:f>
        <x:v>132</x:v>
      </x:c>
      <x:c r="G27" t="n">
        <x:f>ROUND(E27*$K$5,0)</x:f>
        <x:v>66</x:v>
      </x:c>
      <x:c r="H27" t="str">
        <x:v>PASS</x:v>
      </x:c>
    </x:row>
    <x:row r="28">
      <x:c r="A28" t="str">
        <x:v>27</x:v>
      </x:c>
      <x:c r="B28" t="str">
        <x:v>e5bfdde7-6889-4829-ad65-06a572af5f97</x:v>
      </x:c>
      <x:c r="C28" t="str">
        <x:v>LES VERBES PRONOMINAUX</x:v>
      </x:c>
      <x:c r="D28" t="n">
        <x:v>2.02</x:v>
      </x:c>
      <x:c r="E28" t="n">
        <x:f>ROUND($K$2*D28/$K$3,0)</x:f>
        <x:v>215</x:v>
      </x:c>
      <x:c r="F28" t="n">
        <x:f>ROUND(E28*$K$4,0)</x:f>
        <x:v>108</x:v>
      </x:c>
      <x:c r="G28" t="n">
        <x:f>ROUND(E28*$K$5,0)</x:f>
        <x:v>54</x:v>
      </x:c>
      <x:c r="H28" t="str">
        <x:v>PASS</x:v>
      </x:c>
    </x:row>
    <x:row r="29">
      <x:c r="A29" t="str">
        <x:v>28</x:v>
      </x:c>
      <x:c r="B29" t="str">
        <x:v>2ad099b6-e9f4-4b96-8883-d88977fc94b4</x:v>
      </x:c>
      <x:c r="C29" t="str">
        <x:v>LES PRONOMS COMPLÉMENTS</x:v>
      </x:c>
      <x:c r="D29" t="n">
        <x:v>2.28</x:v>
      </x:c>
      <x:c r="E29" t="n">
        <x:f>ROUND($K$2*D29/$K$3,0)</x:f>
        <x:v>243</x:v>
      </x:c>
      <x:c r="F29" t="n">
        <x:f>ROUND(E29*$K$4,0)</x:f>
        <x:v>122</x:v>
      </x:c>
      <x:c r="G29" t="n">
        <x:f>ROUND(E29*$K$5,0)</x:f>
        <x:v>61</x:v>
      </x:c>
      <x:c r="H29" t="str">
        <x:v>PASS</x:v>
      </x:c>
    </x:row>
    <x:row r="30">
      <x:c r="A30" t="str">
        <x:v>29</x:v>
      </x:c>
      <x:c r="B30" t="str">
        <x:v>0259af3a-8df3-4f28-ad02-62a99368c409</x:v>
      </x:c>
      <x:c r="C30" t="str">
        <x:v>LES PRONOMS TONIQUES</x:v>
      </x:c>
      <x:c r="D30" t="n">
        <x:v>1.75</x:v>
      </x:c>
      <x:c r="E30" t="n">
        <x:f>ROUND($K$2*D30/$K$3,0)</x:f>
        <x:v>186</x:v>
      </x:c>
      <x:c r="F30" t="n">
        <x:f>ROUND(E30*$K$4,0)</x:f>
        <x:v>93</x:v>
      </x:c>
      <x:c r="G30" t="n">
        <x:f>ROUND(E30*$K$5,0)</x:f>
        <x:v>47</x:v>
      </x:c>
      <x:c r="H30" t="str">
        <x:v>PASS</x:v>
      </x:c>
    </x:row>
    <x:row r="31">
      <x:c r="A31" t="str">
        <x:v>30</x:v>
      </x:c>
      <x:c r="B31" t="str">
        <x:v>b24408b6-c9b4-4fbc-9b92-ad4d2ae13876</x:v>
      </x:c>
      <x:c r="C31" t="str">
        <x:v>L’IMPÉRATIF</x:v>
      </x:c>
      <x:c r="D31" t="n">
        <x:v>1.52</x:v>
      </x:c>
      <x:c r="E31" t="n">
        <x:f>ROUND($K$2*D31/$K$3,0)</x:f>
        <x:v>162</x:v>
      </x:c>
      <x:c r="F31" t="n">
        <x:f>ROUND(E31*$K$4,0)</x:f>
        <x:v>81</x:v>
      </x:c>
      <x:c r="G31" t="n">
        <x:f>ROUND(E31*$K$5,0)</x:f>
        <x:v>41</x:v>
      </x:c>
      <x:c r="H31" t="str">
        <x:v>PASS</x:v>
      </x:c>
    </x:row>
    <x:row r="32">
      <x:c r="A32" t="str">
        <x:v>31</x:v>
      </x:c>
      <x:c r="B32" t="str">
        <x:v>83d883bf-5242-4dc2-bed6-dad1585746db</x:v>
      </x:c>
      <x:c r="C32" t="str">
        <x:v>LE CONDITIONNEL (1)</x:v>
      </x:c>
      <x:c r="D32" t="n">
        <x:v>1.93</x:v>
      </x:c>
      <x:c r="E32" t="n">
        <x:f>ROUND($K$2*D32/$K$3,0)</x:f>
        <x:v>205</x:v>
      </x:c>
      <x:c r="F32" t="n">
        <x:f>ROUND(E32*$K$4,0)</x:f>
        <x:v>103</x:v>
      </x:c>
      <x:c r="G32" t="n">
        <x:f>ROUND(E32*$K$5,0)</x:f>
        <x:v>51</x:v>
      </x:c>
      <x:c r="H32" t="str">
        <x:v>PASS</x:v>
      </x:c>
    </x:row>
    <x:row r="33">
      <x:c r="A33" t="str">
        <x:v>32</x:v>
      </x:c>
      <x:c r="B33" t="str">
        <x:v>4ec05ffb-8465-4c5c-9a50-d67136ad0472</x:v>
      </x:c>
      <x:c r="C33" t="str">
        <x:v>LES RELATIFS</x:v>
      </x:c>
      <x:c r="D33" t="n">
        <x:v>2.19</x:v>
      </x:c>
      <x:c r="E33" t="n">
        <x:f>ROUND($K$2*D33/$K$3,0)</x:f>
        <x:v>233</x:v>
      </x:c>
      <x:c r="F33" t="n">
        <x:f>ROUND(E33*$K$4,0)</x:f>
        <x:v>117</x:v>
      </x:c>
      <x:c r="G33" t="n">
        <x:f>ROUND(E33*$K$5,0)</x:f>
        <x:v>58</x:v>
      </x:c>
      <x:c r="H33" t="str">
        <x:v>PASS</x:v>
      </x:c>
    </x:row>
    <x:row r="34">
      <x:c r="A34" t="str">
        <x:v>33</x:v>
      </x:c>
      <x:c r="B34" t="str">
        <x:v>1854197b-634e-4db7-893c-7e9b6bcbf004</x:v>
      </x:c>
      <x:c r="C34" t="str">
        <x:v>L’INTERROGATION (2)</x:v>
      </x:c>
      <x:c r="D34" t="n">
        <x:v>2.13</x:v>
      </x:c>
      <x:c r="E34" t="n">
        <x:f>ROUND($K$2*D34/$K$3,0)</x:f>
        <x:v>227</x:v>
      </x:c>
      <x:c r="F34" t="n">
        <x:f>ROUND(E34*$K$4,0)</x:f>
        <x:v>114</x:v>
      </x:c>
      <x:c r="G34" t="n">
        <x:f>ROUND(E34*$K$5,0)</x:f>
        <x:v>57</x:v>
      </x:c>
      <x:c r="H34" t="str">
        <x:v>PASS</x:v>
      </x:c>
    </x:row>
    <x:row r="35">
      <x:c r="A35" t="str">
        <x:v>34</x:v>
      </x:c>
      <x:c r="B35" t="str">
        <x:v>7a8563ae-ac42-49d2-bddd-42140c4e5245</x:v>
      </x:c>
      <x:c r="C35" t="str">
        <x:v>LA NÉGATION (2)</x:v>
      </x:c>
      <x:c r="D35" t="n">
        <x:v>2.09</x:v>
      </x:c>
      <x:c r="E35" t="n">
        <x:f>ROUND($K$2*D35/$K$3,0)</x:f>
        <x:v>222</x:v>
      </x:c>
      <x:c r="F35" t="n">
        <x:f>ROUND(E35*$K$4,0)</x:f>
        <x:v>111</x:v>
      </x:c>
      <x:c r="G35" t="n">
        <x:f>ROUND(E35*$K$5,0)</x:f>
        <x:v>56</x:v>
      </x:c>
      <x:c r="H35" t="str">
        <x:v>PASS</x:v>
      </x:c>
    </x:row>
    <x:row r="36">
      <x:c r="A36" t="str">
        <x:v>35</x:v>
      </x:c>
      <x:c r="B36" t="str">
        <x:v>83287154-f6ce-4595-a2b2-17537cb9908d</x:v>
      </x:c>
      <x:c r="C36" t="str">
        <x:v>LE DISCOURS INDIRECT au PRÉSENT</x:v>
      </x:c>
      <x:c r="D36" t="n">
        <x:v>1.75</x:v>
      </x:c>
      <x:c r="E36" t="n">
        <x:f>ROUND($K$2*D36/$K$3,0)</x:f>
        <x:v>186</x:v>
      </x:c>
      <x:c r="F36" t="n">
        <x:f>ROUND(E36*$K$4,0)</x:f>
        <x:v>93</x:v>
      </x:c>
      <x:c r="G36" t="n">
        <x:f>ROUND(E36*$K$5,0)</x:f>
        <x:v>47</x:v>
      </x:c>
      <x:c r="H36" t="str">
        <x:v>PASS</x:v>
      </x:c>
    </x:row>
    <x:row r="37">
      <x:c r="A37" t="str">
        <x:v>36</x:v>
      </x:c>
      <x:c r="B37" t="str">
        <x:v>03b37cc5-75e7-4209-9322-1f6401df4973</x:v>
      </x:c>
      <x:c r="C37" t="str">
        <x:v>LE GÉRONDIF</x:v>
      </x:c>
      <x:c r="D37" t="n">
        <x:v>1.6</x:v>
      </x:c>
      <x:c r="E37" t="n">
        <x:f>ROUND($K$2*D37/$K$3,0)</x:f>
        <x:v>170</x:v>
      </x:c>
      <x:c r="F37" t="n">
        <x:f>ROUND(E37*$K$4,0)</x:f>
        <x:v>85</x:v>
      </x:c>
      <x:c r="G37" t="n">
        <x:f>ROUND(E37*$K$5,0)</x:f>
        <x:v>43</x:v>
      </x:c>
      <x:c r="H37" t="str">
        <x:v>PASS</x:v>
      </x:c>
    </x:row>
    <x:row r="38">
      <x:c r="A38" t="str">
        <x:v>37</x:v>
      </x:c>
      <x:c r="B38" t="str">
        <x:v>7a66cb3a-470c-4ae3-ae32-325cf327c9f9</x:v>
      </x:c>
      <x:c r="C38" t="str">
        <x:v>LES PRÉPOSITIONS et LES VERBES</x:v>
      </x:c>
      <x:c r="D38" t="n">
        <x:v>2.19</x:v>
      </x:c>
      <x:c r="E38" t="n">
        <x:f>ROUND($K$2*D38/$K$3,0)</x:f>
        <x:v>233</x:v>
      </x:c>
      <x:c r="F38" t="n">
        <x:f>ROUND(E38*$K$4,0)</x:f>
        <x:v>117</x:v>
      </x:c>
      <x:c r="G38" t="n">
        <x:f>ROUND(E38*$K$5,0)</x:f>
        <x:v>58</x:v>
      </x:c>
      <x:c r="H38" t="str">
        <x:v>PASS</x:v>
      </x:c>
    </x:row>
    <x:row r="39">
      <x:c r="A39" t="str">
        <x:v>38</x:v>
      </x:c>
      <x:c r="B39" t="str">
        <x:v>d138adce-c139-454e-b3a3-1ff9464bd0e8</x:v>
      </x:c>
      <x:c r="C39" t="str">
        <x:v>LES VERBES de DÉPLACEMENT</x:v>
      </x:c>
      <x:c r="D39" t="n">
        <x:v>1.74</x:v>
      </x:c>
      <x:c r="E39" t="n">
        <x:f>ROUND($K$2*D39/$K$3,0)</x:f>
        <x:v>185</x:v>
      </x:c>
      <x:c r="F39" t="n">
        <x:f>ROUND(E39*$K$4,0)</x:f>
        <x:v>93</x:v>
      </x:c>
      <x:c r="G39" t="n">
        <x:f>ROUND(E39*$K$5,0)</x:f>
        <x:v>46</x:v>
      </x:c>
      <x:c r="H39" t="str">
        <x:v>PASS</x:v>
      </x:c>
    </x:row>
    <x:row r="40">
      <x:c r="A40" t="str">
        <x:v>39</x:v>
      </x:c>
      <x:c r="B40" t="str">
        <x:v>2cc8ffec-0888-40b2-bb6b-23bb8ebcd4f0</x:v>
      </x:c>
      <x:c r="C40" t="str">
        <x:v>LE FUTUR PROCHE</x:v>
      </x:c>
      <x:c r="D40" t="n">
        <x:v>1.78</x:v>
      </x:c>
      <x:c r="E40" t="n">
        <x:f>ROUND($K$2*D40/$K$3,0)</x:f>
        <x:v>189</x:v>
      </x:c>
      <x:c r="F40" t="n">
        <x:f>ROUND(E40*$K$4,0)</x:f>
        <x:v>95</x:v>
      </x:c>
      <x:c r="G40" t="n">
        <x:f>ROUND(E40*$K$5,0)</x:f>
        <x:v>47</x:v>
      </x:c>
      <x:c r="H40" t="str">
        <x:v>PASS</x:v>
      </x:c>
    </x:row>
    <x:row r="41">
      <x:c r="A41" t="str">
        <x:v>40</x:v>
      </x:c>
      <x:c r="B41" t="str">
        <x:v>a2303764-b3c6-4a78-a5eb-287adffcd970</x:v>
      </x:c>
      <x:c r="C41" t="str">
        <x:v>LE PASSÉ COMPOSÉ</x:v>
      </x:c>
      <x:c r="D41" t="n">
        <x:v>2.44</x:v>
      </x:c>
      <x:c r="E41" t="n">
        <x:f>ROUND($K$2*D41/$K$3,0)</x:f>
        <x:v>260</x:v>
      </x:c>
      <x:c r="F41" t="n">
        <x:f>ROUND(E41*$K$4,0)</x:f>
        <x:v>130</x:v>
      </x:c>
      <x:c r="G41" t="n">
        <x:f>ROUND(E41*$K$5,0)</x:f>
        <x:v>65</x:v>
      </x:c>
      <x:c r="H41" t="str">
        <x:v>PASS</x:v>
      </x:c>
    </x:row>
    <x:row r="42">
      <x:c r="A42" t="str">
        <x:v>41</x:v>
      </x:c>
      <x:c r="B42" t="str">
        <x:v>61d3b6b5-dd58-4ca4-b78d-521013ae2461</x:v>
      </x:c>
      <x:c r="C42" t="str">
        <x:v>LE TEMPS (3)</x:v>
      </x:c>
      <x:c r="D42" t="n">
        <x:v>1.9</x:v>
      </x:c>
      <x:c r="E42" t="n">
        <x:f>ROUND($K$2*D42/$K$3,0)</x:f>
        <x:v>202</x:v>
      </x:c>
      <x:c r="F42" t="n">
        <x:f>ROUND(E42*$K$4,0)</x:f>
        <x:v>101</x:v>
      </x:c>
      <x:c r="G42" t="n">
        <x:f>ROUND(E42*$K$5,0)</x:f>
        <x:v>51</x:v>
      </x:c>
      <x:c r="H42" t="str">
        <x:v>PASS</x:v>
      </x:c>
    </x:row>
    <x:row r="43">
      <x:c r="A43" t="str">
        <x:v>42</x:v>
      </x:c>
      <x:c r="B43" t="str">
        <x:v>79d5da54-9d06-473a-a60c-1c4cb74c38e1</x:v>
      </x:c>
      <x:c r="C43" t="str">
        <x:v>LE PASSIF</x:v>
      </x:c>
      <x:c r="D43" t="n">
        <x:v>1.72</x:v>
      </x:c>
      <x:c r="E43" t="n">
        <x:f>ROUND($K$2*D43/$K$3,0)</x:f>
        <x:v>183</x:v>
      </x:c>
      <x:c r="F43" t="n">
        <x:f>ROUND(E43*$K$4,0)</x:f>
        <x:v>92</x:v>
      </x:c>
      <x:c r="G43" t="n">
        <x:f>ROUND(E43*$K$5,0)</x:f>
        <x:v>46</x:v>
      </x:c>
      <x:c r="H43" t="str">
        <x:v>PASS</x:v>
      </x:c>
    </x:row>
    <x:row r="44">
      <x:c r="A44" t="str">
        <x:v>43</x:v>
      </x:c>
      <x:c r="B44" t="str">
        <x:v>1a7369fc-5f96-48eb-9433-a91853b0f074</x:v>
      </x:c>
      <x:c r="C44" t="str">
        <x:v>L’IMPARFAIT</x:v>
      </x:c>
      <x:c r="D44" t="n">
        <x:v>2.41</x:v>
      </x:c>
      <x:c r="E44" t="n">
        <x:f>ROUND($K$2*D44/$K$3,0)</x:f>
        <x:v>256</x:v>
      </x:c>
      <x:c r="F44" t="n">
        <x:f>ROUND(E44*$K$4,0)</x:f>
        <x:v>128</x:v>
      </x:c>
      <x:c r="G44" t="n">
        <x:f>ROUND(E44*$K$5,0)</x:f>
        <x:v>64</x:v>
      </x:c>
      <x:c r="H44" t="str">
        <x:v>PASS</x:v>
      </x:c>
    </x:row>
    <x:row r="45">
      <x:c r="A45" t="str">
        <x:v>44</x:v>
      </x:c>
      <x:c r="B45" t="str">
        <x:v>7b460b08-fac3-4f7c-bec0-0e1863fbcca3</x:v>
      </x:c>
      <x:c r="C45" t="str">
        <x:v>LE PLUS-QUE-PARFAIT</x:v>
      </x:c>
      <x:c r="D45" t="n">
        <x:v>1.86</x:v>
      </x:c>
      <x:c r="E45" t="n">
        <x:f>ROUND($K$2*D45/$K$3,0)</x:f>
        <x:v>198</x:v>
      </x:c>
      <x:c r="F45" t="n">
        <x:f>ROUND(E45*$K$4,0)</x:f>
        <x:v>99</x:v>
      </x:c>
      <x:c r="G45" t="n">
        <x:f>ROUND(E45*$K$5,0)</x:f>
        <x:v>50</x:v>
      </x:c>
      <x:c r="H45" t="str">
        <x:v>PASS</x:v>
      </x:c>
    </x:row>
    <x:row r="46">
      <x:c r="A46" t="str">
        <x:v>45</x:v>
      </x:c>
      <x:c r="B46" t="str">
        <x:v>ea5e63b4-af5e-438a-b50c-a3d9678296b6</x:v>
      </x:c>
      <x:c r="C46" t="str">
        <x:v>LE DISCOURS INDIRECT au PASSÉ</x:v>
      </x:c>
      <x:c r="D46" t="n">
        <x:v>1.57</x:v>
      </x:c>
      <x:c r="E46" t="n">
        <x:f>ROUND($K$2*D46/$K$3,0)</x:f>
        <x:v>167</x:v>
      </x:c>
      <x:c r="F46" t="n">
        <x:f>ROUND(E46*$K$4,0)</x:f>
        <x:v>84</x:v>
      </x:c>
      <x:c r="G46" t="n">
        <x:f>ROUND(E46*$K$5,0)</x:f>
        <x:v>42</x:v>
      </x:c>
      <x:c r="H46" t="str">
        <x:v>PASS</x:v>
      </x:c>
    </x:row>
    <x:row r="47">
      <x:c r="A47" t="str">
        <x:v>46</x:v>
      </x:c>
      <x:c r="B47" t="str">
        <x:v>fa21c54c-eda9-434c-9b4c-af896a3dfde0</x:v>
      </x:c>
      <x:c r="C47" t="str">
        <x:v>« VENIR de », « ÊTRE en TRAIN de », « ÊTRE sur le POINT de »</x:v>
      </x:c>
      <x:c r="D47" t="n">
        <x:v>1.47</x:v>
      </x:c>
      <x:c r="E47" t="n">
        <x:f>ROUND($K$2*D47/$K$3,0)</x:f>
        <x:v>156</x:v>
      </x:c>
      <x:c r="F47" t="n">
        <x:f>ROUND(E47*$K$4,0)</x:f>
        <x:v>78</x:v>
      </x:c>
      <x:c r="G47" t="n">
        <x:f>ROUND(E47*$K$5,0)</x:f>
        <x:v>39</x:v>
      </x:c>
      <x:c r="H47" t="str">
        <x:v>PASS</x:v>
      </x:c>
    </x:row>
    <x:row r="48">
      <x:c r="A48" t="str">
        <x:v>47</x:v>
      </x:c>
      <x:c r="B48" t="str">
        <x:v>9452d2bf-3b54-4cbe-9410-2a607d9d9903</x:v>
      </x:c>
      <x:c r="C48" t="str">
        <x:v>LE FUTUR SIMPLE</x:v>
      </x:c>
      <x:c r="D48" t="n">
        <x:v>2.16</x:v>
      </x:c>
      <x:c r="E48" t="n">
        <x:f>ROUND($K$2*D48/$K$3,0)</x:f>
        <x:v>230</x:v>
      </x:c>
      <x:c r="F48" t="n">
        <x:f>ROUND(E48*$K$4,0)</x:f>
        <x:v>115</x:v>
      </x:c>
      <x:c r="G48" t="n">
        <x:f>ROUND(E48*$K$5,0)</x:f>
        <x:v>58</x:v>
      </x:c>
      <x:c r="H48" t="str">
        <x:v>PASS</x:v>
      </x:c>
    </x:row>
    <x:row r="49">
      <x:c r="A49" t="str">
        <x:v>48</x:v>
      </x:c>
      <x:c r="B49" t="str">
        <x:v>c8b25314-e54b-4ec5-9a31-41e6af6cfab4</x:v>
      </x:c>
      <x:c r="C49" t="str">
        <x:v>LE FUTUR ANTÉRIEUR</x:v>
      </x:c>
      <x:c r="D49" t="n">
        <x:v>1.35</x:v>
      </x:c>
      <x:c r="E49" t="n">
        <x:f>ROUND($K$2*D49/$K$3,0)</x:f>
        <x:v>144</x:v>
      </x:c>
      <x:c r="F49" t="n">
        <x:f>ROUND(E49*$K$4,0)</x:f>
        <x:v>72</x:v>
      </x:c>
      <x:c r="G49" t="n">
        <x:f>ROUND(E49*$K$5,0)</x:f>
        <x:v>36</x:v>
      </x:c>
      <x:c r="H49" t="str">
        <x:v>PASS</x:v>
      </x:c>
    </x:row>
    <x:row r="50">
      <x:c r="A50" t="str">
        <x:v>49</x:v>
      </x:c>
      <x:c r="B50" t="str">
        <x:v>8492c636-b6f3-4368-97df-c4e0387ff946</x:v>
      </x:c>
      <x:c r="C50" t="str">
        <x:v>LE CONDITIONNEL (2)</x:v>
      </x:c>
      <x:c r="D50" t="n">
        <x:v>2.04</x:v>
      </x:c>
      <x:c r="E50" t="n">
        <x:f>ROUND($K$2*D50/$K$3,0)</x:f>
        <x:v>217</x:v>
      </x:c>
      <x:c r="F50" t="n">
        <x:f>ROUND(E50*$K$4,0)</x:f>
        <x:v>109</x:v>
      </x:c>
      <x:c r="G50" t="n">
        <x:f>ROUND(E50*$K$5,0)</x:f>
        <x:v>54</x:v>
      </x:c>
      <x:c r="H50" t="str">
        <x:v>PASS</x:v>
      </x:c>
    </x:row>
    <x:row r="51">
      <x:c r="A51" t="str">
        <x:v>50</x:v>
      </x:c>
      <x:c r="B51" t="str">
        <x:v>7292614b-ad5b-496f-836e-1ca257cb80cc</x:v>
      </x:c>
      <x:c r="C51" t="str">
        <x:v>LES HYPOTHÈSES</x:v>
      </x:c>
      <x:c r="D51" t="n">
        <x:v>2.19</x:v>
      </x:c>
      <x:c r="E51" t="n">
        <x:f>ROUND($K$2*D51/$K$3,0)</x:f>
        <x:v>233</x:v>
      </x:c>
      <x:c r="F51" t="n">
        <x:f>ROUND(E51*$K$4,0)</x:f>
        <x:v>117</x:v>
      </x:c>
      <x:c r="G51" t="n">
        <x:f>ROUND(E51*$K$5,0)</x:f>
        <x:v>58</x:v>
      </x:c>
      <x:c r="H51" t="str">
        <x:v>PASS</x:v>
      </x:c>
    </x:row>
    <x:row r="52">
      <x:c r="A52" t="str">
        <x:v>51</x:v>
      </x:c>
      <x:c r="B52" t="str">
        <x:v>5a20dade-1724-4c8a-887c-14dee287c1a2</x:v>
      </x:c>
      <x:c r="C52" t="str">
        <x:v>LE SUBJONCTIF</x:v>
      </x:c>
      <x:c r="D52" t="n">
        <x:v>2.24</x:v>
      </x:c>
      <x:c r="E52" t="n">
        <x:f>ROUND($K$2*D52/$K$3,0)</x:f>
        <x:v>238</x:v>
      </x:c>
      <x:c r="F52" t="n">
        <x:f>ROUND(E52*$K$4,0)</x:f>
        <x:v>119</x:v>
      </x:c>
      <x:c r="G52" t="n">
        <x:f>ROUND(E52*$K$5,0)</x:f>
        <x:v>60</x:v>
      </x:c>
      <x:c r="H52" t="str">
        <x:v>PASS</x:v>
      </x:c>
    </x:row>
    <x:row r="53">
      <x:c r="A53" t="str">
        <x:v>52</x:v>
      </x:c>
      <x:c r="B53" t="str">
        <x:v>f0a5d28c-4b03-42c8-bd92-0708737ab3f1</x:v>
      </x:c>
      <x:c r="C53" t="str">
        <x:v>LES RELATIONS LOGIQUES</x:v>
      </x:c>
      <x:c r="D53" t="n">
        <x:v>2.23</x:v>
      </x:c>
      <x:c r="E53" t="n">
        <x:f>ROUND($K$2*D53/$K$3,0)</x:f>
        <x:v>237</x:v>
      </x:c>
      <x:c r="F53" t="n">
        <x:f>ROUND(E53*$K$4,0)</x:f>
        <x:v>119</x:v>
      </x:c>
      <x:c r="G53" t="n">
        <x:f>ROUND(E53*$K$5,0)</x:f>
        <x:v>59</x:v>
      </x:c>
      <x:c r="H53" t="str">
        <x:v>PASS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8" hidden="0" customWidth="1"/>
    <x:col min="4" max="4" width="12" hidden="0" customWidth="1"/>
    <x:col min="5" max="5" width="11" hidden="0" customWidth="1"/>
    <x:col min="6" max="6" width="10" hidden="0" customWidth="1"/>
    <x:col min="7" max="7" width="10" hidden="0" customWidth="1"/>
    <x:col min="8" max="8" width="11" hidden="0" customWidth="1"/>
    <x:col min="9" max="9" width="12" hidden="0" customWidth="1"/>
    <x:col min="10" max="10" width="14" hidden="0" customWidth="1"/>
  </x:cols>
  <x:sheetData>
    <x:row r="1">
      <x:c r="A1" s="11" t="str">
        <x:v>lesson_no</x:v>
      </x:c>
      <x:c r="B1" s="11" t="str">
        <x:v>lesson_id</x:v>
      </x:c>
      <x:c r="C1" s="11" t="str">
        <x:v>title_fr_official</x:v>
      </x:c>
      <x:c r="D1" s="11" t="str">
        <x:v>target_full</x:v>
      </x:c>
      <x:c r="E1" s="11" t="str">
        <x:v>approved</x:v>
      </x:c>
      <x:c r="F1" s="11" t="str">
        <x:v>draft</x:v>
      </x:c>
      <x:c r="G1" s="11" t="str">
        <x:v>rejected</x:v>
      </x:c>
      <x:c r="H1" s="11" t="str">
        <x:v>published</x:v>
      </x:c>
      <x:c r="I1" s="11" t="str">
        <x:v>gap_full</x:v>
      </x:c>
      <x:c r="J1" s="11" t="str">
        <x:v>coverage_pct</x:v>
      </x:c>
    </x:row>
    <x:row r="2">
      <x:c r="A2" t="n">
        <x:v>1</x:v>
      </x:c>
      <x:c r="B2" t="str">
        <x:v>eb643021-d5f2-4093-8fd2-835a2199ef3f</x:v>
      </x:c>
      <x:c r="C2" t="str">
        <x:v>LE VERBE « ÊTRE »</x:v>
      </x:c>
      <x:c r="D2" t="n">
        <x:v>252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f>MAX(D2-E2,0)</x:f>
        <x:v>252</x:v>
      </x:c>
      <x:c r="J2" s="24" t="n">
        <x:f>IF(D2=0,0,E2/D2)</x:f>
        <x:v>0</x:v>
      </x:c>
    </x:row>
    <x:row r="3">
      <x:c r="A3" t="n">
        <x:v>2</x:v>
      </x:c>
      <x:c r="B3" t="str">
        <x:v>734f4892-3926-439e-b274-85e9d824e225</x:v>
      </x:c>
      <x:c r="C3" t="str">
        <x:v>L’ADJECTIF (1)</x:v>
      </x:c>
      <x:c r="D3" t="n">
        <x:v>209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f>MAX(D3-E3,0)</x:f>
        <x:v>209</x:v>
      </x:c>
      <x:c r="J3" s="24" t="n">
        <x:f>IF(D3=0,0,E3/D3)</x:f>
        <x:v>0</x:v>
      </x:c>
    </x:row>
    <x:row r="4">
      <x:c r="A4" t="n">
        <x:v>3</x:v>
      </x:c>
      <x:c r="B4" t="str">
        <x:v>3dd22b4a-1072-4ca6-91c1-662829b94758</x:v>
      </x:c>
      <x:c r="C4" t="str">
        <x:v>LA NÉGATION et L’INTERROGATION (1)</x:v>
      </x:c>
      <x:c r="D4" t="n">
        <x:v>248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f>MAX(D4-E4,0)</x:f>
        <x:v>248</x:v>
      </x:c>
      <x:c r="J4" s="24" t="n">
        <x:f>IF(D4=0,0,E4/D4)</x:f>
        <x:v>0</x:v>
      </x:c>
    </x:row>
    <x:row r="5">
      <x:c r="A5" t="n">
        <x:v>4</x:v>
      </x:c>
      <x:c r="B5" t="str">
        <x:v>26acbe21-6e4d-4c22-a0e6-27e27f3bb5ab</x:v>
      </x:c>
      <x:c r="C5" t="str">
        <x:v>LE NOM et L’ARTICLE</x:v>
      </x:c>
      <x:c r="D5" t="n">
        <x:v>252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f>MAX(D5-E5,0)</x:f>
        <x:v>252</x:v>
      </x:c>
      <x:c r="J5" s="24" t="n">
        <x:f>IF(D5=0,0,E5/D5)</x:f>
        <x:v>0</x:v>
      </x:c>
    </x:row>
    <x:row r="6">
      <x:c r="A6" t="n">
        <x:v>5</x:v>
      </x:c>
      <x:c r="B6" t="str">
        <x:v>99f46643-99ba-428d-bdaf-193d018572cc</x:v>
      </x:c>
      <x:c r="C6" t="str">
        <x:v>« C’EST » et « IL EST »</x:v>
      </x:c>
      <x:c r="D6" t="n">
        <x:v>218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f>MAX(D6-E6,0)</x:f>
        <x:v>218</x:v>
      </x:c>
      <x:c r="J6" s="24" t="n">
        <x:f>IF(D6=0,0,E6/D6)</x:f>
        <x:v>0</x:v>
      </x:c>
    </x:row>
    <x:row r="7">
      <x:c r="A7" t="n">
        <x:v>6</x:v>
      </x:c>
      <x:c r="B7" t="str">
        <x:v>f07ba2d4-e9cf-441c-ad53-85194d85e1ff</x:v>
      </x:c>
      <x:c r="C7" t="str">
        <x:v>LES POSSESSIFS</x:v>
      </x:c>
      <x:c r="D7" t="n">
        <x:v>169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f>MAX(D7-E7,0)</x:f>
        <x:v>169</x:v>
      </x:c>
      <x:c r="J7" s="24" t="n">
        <x:f>IF(D7=0,0,E7/D7)</x:f>
        <x:v>0</x:v>
      </x:c>
    </x:row>
    <x:row r="8">
      <x:c r="A8" t="n">
        <x:v>7</x:v>
      </x:c>
      <x:c r="B8" t="str">
        <x:v>4bf7f7a6-29e0-471a-8b5c-3740f60b5c8e</x:v>
      </x:c>
      <x:c r="C8" t="str">
        <x:v>LES NOMS de PARENTÉ et de GROUPE</x:v>
      </x:c>
      <x:c r="D8" t="n">
        <x:v>100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f>MAX(D8-E8,0)</x:f>
        <x:v>100</x:v>
      </x:c>
      <x:c r="J8" s="24" t="n">
        <x:f>IF(D8=0,0,E8/D8)</x:f>
        <x:v>0</x:v>
      </x:c>
    </x:row>
    <x:row r="9">
      <x:c r="A9" t="n">
        <x:v>8</x:v>
      </x:c>
      <x:c r="B9" t="str">
        <x:v>d68e9726-6d53-4ffb-935c-fd8f24aae9ec</x:v>
      </x:c>
      <x:c r="C9" t="str">
        <x:v>LES DÉMONSTRATIFS</x:v>
      </x:c>
      <x:c r="D9" t="n">
        <x:v>169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f>MAX(D9-E9,0)</x:f>
        <x:v>169</x:v>
      </x:c>
      <x:c r="J9" s="24" t="n">
        <x:f>IF(D9=0,0,E9/D9)</x:f>
        <x:v>0</x:v>
      </x:c>
    </x:row>
    <x:row r="10">
      <x:c r="A10" t="n">
        <x:v>9</x:v>
      </x:c>
      <x:c r="B10" t="str">
        <x:v>3a93c97f-cdce-4896-98be-892e3354b7fc</x:v>
      </x:c>
      <x:c r="C10" t="str">
        <x:v>« IL Y A » et « C’EST »</x:v>
      </x:c>
      <x:c r="D10" t="n">
        <x:v>189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f>MAX(D10-E10,0)</x:f>
        <x:v>189</x:v>
      </x:c>
      <x:c r="J10" s="24" t="n">
        <x:f>IF(D10=0,0,E10/D10)</x:f>
        <x:v>0</x:v>
      </x:c>
    </x:row>
    <x:row r="11">
      <x:c r="A11" t="n">
        <x:v>10</x:v>
      </x:c>
      <x:c r="B11" t="str">
        <x:v>988143e8-7e0e-46e1-94a0-f87f7a1267f5</x:v>
      </x:c>
      <x:c r="C11" t="str">
        <x:v>LA SITUATION dans l’ESPACE (1)</x:v>
      </x:c>
      <x:c r="D11" t="n">
        <x:v>207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f>MAX(D11-E11,0)</x:f>
        <x:v>207</x:v>
      </x:c>
      <x:c r="J11" s="24" t="n">
        <x:f>IF(D11=0,0,E11/D11)</x:f>
        <x:v>0</x:v>
      </x:c>
    </x:row>
    <x:row r="12">
      <x:c r="A12" t="n">
        <x:v>11</x:v>
      </x:c>
      <x:c r="B12" t="str">
        <x:v>a02fe5a3-8336-4749-8b93-f43d0a82948a</x:v>
      </x:c>
      <x:c r="C12" t="str">
        <x:v>LE VERBE « AVOIR »</x:v>
      </x:c>
      <x:c r="D12" t="n">
        <x:v>244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f>MAX(D12-E12,0)</x:f>
        <x:v>244</x:v>
      </x:c>
      <x:c r="J12" s="24" t="n">
        <x:f>IF(D12=0,0,E12/D12)</x:f>
        <x:v>0</x:v>
      </x:c>
    </x:row>
    <x:row r="13">
      <x:c r="A13" t="n">
        <x:v>12</x:v>
      </x:c>
      <x:c r="B13" t="str">
        <x:v>ec78c6b7-50f2-4fcf-8ecd-63c1a84e5e41</x:v>
      </x:c>
      <x:c r="C13" t="str">
        <x:v>L’ADJECTIF (2)</x:v>
      </x:c>
      <x:c r="D13" t="n">
        <x:v>167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f>MAX(D13-E13,0)</x:f>
        <x:v>167</x:v>
      </x:c>
      <x:c r="J13" s="24" t="n">
        <x:f>IF(D13=0,0,E13/D13)</x:f>
        <x:v>0</x:v>
      </x:c>
    </x:row>
    <x:row r="14">
      <x:c r="A14" t="n">
        <x:v>13</x:v>
      </x:c>
      <x:c r="B14" t="str">
        <x:v>99f4cbed-373c-4bf4-affd-8eda53373a56</x:v>
      </x:c>
      <x:c r="C14" t="str">
        <x:v>LES NOMBRES</x:v>
      </x:c>
      <x:c r="D14" t="n">
        <x:v>173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f>MAX(D14-E14,0)</x:f>
        <x:v>173</x:v>
      </x:c>
      <x:c r="J14" s="24" t="n">
        <x:f>IF(D14=0,0,E14/D14)</x:f>
        <x:v>0</x:v>
      </x:c>
    </x:row>
    <x:row r="15">
      <x:c r="A15" t="n">
        <x:v>14</x:v>
      </x:c>
      <x:c r="B15" t="str">
        <x:v>8b0727a3-b94e-4d9d-bb86-9a0045b8685a</x:v>
      </x:c>
      <x:c r="C15" t="str">
        <x:v>LE TEMPS (1)</x:v>
      </x:c>
      <x:c r="D15" t="n">
        <x:v>199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f>MAX(D15-E15,0)</x:f>
        <x:v>199</x:v>
      </x:c>
      <x:c r="J15" s="24" t="n">
        <x:f>IF(D15=0,0,E15/D15)</x:f>
        <x:v>0</x:v>
      </x:c>
    </x:row>
    <x:row r="16">
      <x:c r="A16" t="n">
        <x:v>15</x:v>
      </x:c>
      <x:c r="B16" t="str">
        <x:v>b182d62b-44dc-4893-b88c-75ef935c0111</x:v>
      </x:c>
      <x:c r="C16" t="str">
        <x:v>LES INDÉFINIS</x:v>
      </x:c>
      <x:c r="D16" t="n">
        <x:v>183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f>MAX(D16-E16,0)</x:f>
        <x:v>183</x:v>
      </x:c>
      <x:c r="J16" s="24" t="n">
        <x:f>IF(D16=0,0,E16/D16)</x:f>
        <x:v>0</x:v>
      </x:c>
    </x:row>
    <x:row r="17">
      <x:c r="A17" t="n">
        <x:v>16</x:v>
      </x:c>
      <x:c r="B17" t="str">
        <x:v>619fe3c8-586f-4038-8ea0-e5ad5085412d</x:v>
      </x:c>
      <x:c r="C17" t="str">
        <x:v>LES VERBES en « -ER » au PRÉSENT</x:v>
      </x:c>
      <x:c r="D17" t="n">
        <x:v>262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f>MAX(D17-E17,0)</x:f>
        <x:v>262</x:v>
      </x:c>
      <x:c r="J17" s="24" t="n">
        <x:f>IF(D17=0,0,E17/D17)</x:f>
        <x:v>0</x:v>
      </x:c>
    </x:row>
    <x:row r="18">
      <x:c r="A18" t="n">
        <x:v>17</x:v>
      </x:c>
      <x:c r="B18" t="str">
        <x:v>e3b8941a-3506-4903-b9f5-ede88a288def</x:v>
      </x:c>
      <x:c r="C18" t="str">
        <x:v>LE TEMPS (2)</x:v>
      </x:c>
      <x:c r="D18" t="n">
        <x:v>199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f>MAX(D18-E18,0)</x:f>
        <x:v>199</x:v>
      </x:c>
      <x:c r="J18" s="24" t="n">
        <x:f>IF(D18=0,0,E18/D18)</x:f>
        <x:v>0</x:v>
      </x:c>
    </x:row>
    <x:row r="19">
      <x:c r="A19" t="n">
        <x:v>18</x:v>
      </x:c>
      <x:c r="B19" t="str">
        <x:v>ec290ee6-f705-4b74-98db-7e4079c54d60</x:v>
      </x:c>
      <x:c r="C19" t="str">
        <x:v>L’ADVERBE</x:v>
      </x:c>
      <x:c r="D19" t="n">
        <x:v>218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f>MAX(D19-E19,0)</x:f>
        <x:v>218</x:v>
      </x:c>
      <x:c r="J19" s="24" t="n">
        <x:f>IF(D19=0,0,E19/D19)</x:f>
        <x:v>0</x:v>
      </x:c>
    </x:row>
    <x:row r="20">
      <x:c r="A20" t="n">
        <x:v>19</x:v>
      </x:c>
      <x:c r="B20" t="str">
        <x:v>cb9bdbbf-0955-46a6-b979-69203ff4d988</x:v>
      </x:c>
      <x:c r="C20" t="str">
        <x:v>L’EXPRESSION de la QUANTITÉ</x:v>
      </x:c>
      <x:c r="D20" t="n">
        <x:v>204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f>MAX(D20-E20,0)</x:f>
        <x:v>204</x:v>
      </x:c>
      <x:c r="J20" s="24" t="n">
        <x:f>IF(D20=0,0,E20/D20)</x:f>
        <x:v>0</x:v>
      </x:c>
    </x:row>
    <x:row r="21">
      <x:c r="A21" t="n">
        <x:v>20</x:v>
      </x:c>
      <x:c r="B21" t="str">
        <x:v>dd8aa1ed-067c-4e17-a9db-10d3b630688a</x:v>
      </x:c>
      <x:c r="C21" t="str">
        <x:v>LE PRONOM « EN »</x:v>
      </x:c>
      <x:c r="D21" t="n">
        <x:v>215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f>MAX(D21-E21,0)</x:f>
        <x:v>215</x:v>
      </x:c>
      <x:c r="J21" s="24" t="n">
        <x:f>IF(D21=0,0,E21/D21)</x:f>
        <x:v>0</x:v>
      </x:c>
    </x:row>
    <x:row r="22">
      <x:c r="A22" t="n">
        <x:v>21</x:v>
      </x:c>
      <x:c r="B22" t="str">
        <x:v>a7d4b7ab-babf-44fd-8d1b-09d273f60704</x:v>
      </x:c>
      <x:c r="C22" t="str">
        <x:v>LA SITUATION dans l’ESPACE (2)</x:v>
      </x:c>
      <x:c r="D22" t="n">
        <x:v>150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f>MAX(D22-E22,0)</x:f>
        <x:v>150</x:v>
      </x:c>
      <x:c r="J22" s="24" t="n">
        <x:f>IF(D22=0,0,E22/D22)</x:f>
        <x:v>0</x:v>
      </x:c>
    </x:row>
    <x:row r="23">
      <x:c r="A23" t="n">
        <x:v>22</x:v>
      </x:c>
      <x:c r="B23" t="str">
        <x:v>526ffab9-fc9b-4221-997e-e57dfbf9694a</x:v>
      </x:c>
      <x:c r="C23" t="str">
        <x:v>LE COMPARATIF et LE SUPERLATIF</x:v>
      </x:c>
      <x:c r="D23" t="n">
        <x:v>181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f>MAX(D23-E23,0)</x:f>
        <x:v>181</x:v>
      </x:c>
      <x:c r="J23" s="24" t="n">
        <x:f>IF(D23=0,0,E23/D23)</x:f>
        <x:v>0</x:v>
      </x:c>
    </x:row>
    <x:row r="24">
      <x:c r="A24" t="n">
        <x:v>23</x:v>
      </x:c>
      <x:c r="B24" t="str">
        <x:v>327c43bc-8757-4e51-aff0-9c04775c57cf</x:v>
      </x:c>
      <x:c r="C24" t="str">
        <x:v>LE VERBE « ALLER »</x:v>
      </x:c>
      <x:c r="D24" t="n">
        <x:v>223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f>MAX(D24-E24,0)</x:f>
        <x:v>223</x:v>
      </x:c>
      <x:c r="J24" s="24" t="n">
        <x:f>IF(D24=0,0,E24/D24)</x:f>
        <x:v>0</x:v>
      </x:c>
    </x:row>
    <x:row r="25">
      <x:c r="A25" t="n">
        <x:v>24</x:v>
      </x:c>
      <x:c r="B25" t="str">
        <x:v>e3b468de-4bc2-4b96-b4dc-0bfa0c3d5a85</x:v>
      </x:c>
      <x:c r="C25" t="str">
        <x:v>LE PRONOM « Y »</x:v>
      </x:c>
      <x:c r="D25" t="n">
        <x:v>190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f>MAX(D25-E25,0)</x:f>
        <x:v>190</x:v>
      </x:c>
      <x:c r="J25" s="24" t="n">
        <x:f>IF(D25=0,0,E25/D25)</x:f>
        <x:v>0</x:v>
      </x:c>
    </x:row>
    <x:row r="26">
      <x:c r="A26" t="n">
        <x:v>25</x:v>
      </x:c>
      <x:c r="B26" t="str">
        <x:v>aece8fe7-c303-4257-a531-a3d6e0f242de</x:v>
      </x:c>
      <x:c r="C26" t="str">
        <x:v>LA SITUATION dans l’ESPACE et le TEMPS (3)</x:v>
      </x:c>
      <x:c r="D26" t="n">
        <x:v>174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f>MAX(D26-E26,0)</x:f>
        <x:v>174</x:v>
      </x:c>
      <x:c r="J26" s="24" t="n">
        <x:f>IF(D26=0,0,E26/D26)</x:f>
        <x:v>0</x:v>
      </x:c>
    </x:row>
    <x:row r="27">
      <x:c r="A27" t="n">
        <x:v>26</x:v>
      </x:c>
      <x:c r="B27" t="str">
        <x:v>6ad0bf53-cab8-4037-8548-6e73441d1620</x:v>
      </x:c>
      <x:c r="C27" t="str">
        <x:v>LES VERBES en « -IR », « -OIR » et « -RE » au PRÉSENT</x:v>
      </x:c>
      <x:c r="D27" t="n">
        <x:v>264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f>MAX(D27-E27,0)</x:f>
        <x:v>264</x:v>
      </x:c>
      <x:c r="J27" s="24" t="n">
        <x:f>IF(D27=0,0,E27/D27)</x:f>
        <x:v>0</x:v>
      </x:c>
    </x:row>
    <x:row r="28">
      <x:c r="A28" t="n">
        <x:v>27</x:v>
      </x:c>
      <x:c r="B28" t="str">
        <x:v>e5bfdde7-6889-4829-ad65-06a572af5f97</x:v>
      </x:c>
      <x:c r="C28" t="str">
        <x:v>LES VERBES PRONOMINAUX</x:v>
      </x:c>
      <x:c r="D28" t="n">
        <x:v>215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f>MAX(D28-E28,0)</x:f>
        <x:v>215</x:v>
      </x:c>
      <x:c r="J28" s="24" t="n">
        <x:f>IF(D28=0,0,E28/D28)</x:f>
        <x:v>0</x:v>
      </x:c>
    </x:row>
    <x:row r="29">
      <x:c r="A29" t="n">
        <x:v>28</x:v>
      </x:c>
      <x:c r="B29" t="str">
        <x:v>2ad099b6-e9f4-4b96-8883-d88977fc94b4</x:v>
      </x:c>
      <x:c r="C29" t="str">
        <x:v>LES PRONOMS COMPLÉMENTS</x:v>
      </x:c>
      <x:c r="D29" t="n">
        <x:v>243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f>MAX(D29-E29,0)</x:f>
        <x:v>243</x:v>
      </x:c>
      <x:c r="J29" s="24" t="n">
        <x:f>IF(D29=0,0,E29/D29)</x:f>
        <x:v>0</x:v>
      </x:c>
    </x:row>
    <x:row r="30">
      <x:c r="A30" t="n">
        <x:v>29</x:v>
      </x:c>
      <x:c r="B30" t="str">
        <x:v>0259af3a-8df3-4f28-ad02-62a99368c409</x:v>
      </x:c>
      <x:c r="C30" t="str">
        <x:v>LES PRONOMS TONIQUES</x:v>
      </x:c>
      <x:c r="D30" t="n">
        <x:v>186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f>MAX(D30-E30,0)</x:f>
        <x:v>186</x:v>
      </x:c>
      <x:c r="J30" s="24" t="n">
        <x:f>IF(D30=0,0,E30/D30)</x:f>
        <x:v>0</x:v>
      </x:c>
    </x:row>
    <x:row r="31">
      <x:c r="A31" t="n">
        <x:v>30</x:v>
      </x:c>
      <x:c r="B31" t="str">
        <x:v>b24408b6-c9b4-4fbc-9b92-ad4d2ae13876</x:v>
      </x:c>
      <x:c r="C31" t="str">
        <x:v>L’IMPÉRATIF</x:v>
      </x:c>
      <x:c r="D31" t="n">
        <x:v>162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f>MAX(D31-E31,0)</x:f>
        <x:v>162</x:v>
      </x:c>
      <x:c r="J31" s="24" t="n">
        <x:f>IF(D31=0,0,E31/D31)</x:f>
        <x:v>0</x:v>
      </x:c>
    </x:row>
    <x:row r="32">
      <x:c r="A32" t="n">
        <x:v>31</x:v>
      </x:c>
      <x:c r="B32" t="str">
        <x:v>83d883bf-5242-4dc2-bed6-dad1585746db</x:v>
      </x:c>
      <x:c r="C32" t="str">
        <x:v>LE CONDITIONNEL (1)</x:v>
      </x:c>
      <x:c r="D32" t="n">
        <x:v>205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f>MAX(D32-E32,0)</x:f>
        <x:v>205</x:v>
      </x:c>
      <x:c r="J32" s="24" t="n">
        <x:f>IF(D32=0,0,E32/D32)</x:f>
        <x:v>0</x:v>
      </x:c>
    </x:row>
    <x:row r="33">
      <x:c r="A33" t="n">
        <x:v>32</x:v>
      </x:c>
      <x:c r="B33" t="str">
        <x:v>4ec05ffb-8465-4c5c-9a50-d67136ad0472</x:v>
      </x:c>
      <x:c r="C33" t="str">
        <x:v>LES RELATIFS</x:v>
      </x:c>
      <x:c r="D33" t="n">
        <x:v>233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f>MAX(D33-E33,0)</x:f>
        <x:v>233</x:v>
      </x:c>
      <x:c r="J33" s="24" t="n">
        <x:f>IF(D33=0,0,E33/D33)</x:f>
        <x:v>0</x:v>
      </x:c>
    </x:row>
    <x:row r="34">
      <x:c r="A34" t="n">
        <x:v>33</x:v>
      </x:c>
      <x:c r="B34" t="str">
        <x:v>1854197b-634e-4db7-893c-7e9b6bcbf004</x:v>
      </x:c>
      <x:c r="C34" t="str">
        <x:v>L’INTERROGATION (2)</x:v>
      </x:c>
      <x:c r="D34" t="n">
        <x:v>227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f>MAX(D34-E34,0)</x:f>
        <x:v>227</x:v>
      </x:c>
      <x:c r="J34" s="24" t="n">
        <x:f>IF(D34=0,0,E34/D34)</x:f>
        <x:v>0</x:v>
      </x:c>
    </x:row>
    <x:row r="35">
      <x:c r="A35" t="n">
        <x:v>34</x:v>
      </x:c>
      <x:c r="B35" t="str">
        <x:v>7a8563ae-ac42-49d2-bddd-42140c4e5245</x:v>
      </x:c>
      <x:c r="C35" t="str">
        <x:v>LA NÉGATION (2)</x:v>
      </x:c>
      <x:c r="D35" t="n">
        <x:v>222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f>MAX(D35-E35,0)</x:f>
        <x:v>222</x:v>
      </x:c>
      <x:c r="J35" s="24" t="n">
        <x:f>IF(D35=0,0,E35/D35)</x:f>
        <x:v>0</x:v>
      </x:c>
    </x:row>
    <x:row r="36">
      <x:c r="A36" t="n">
        <x:v>35</x:v>
      </x:c>
      <x:c r="B36" t="str">
        <x:v>83287154-f6ce-4595-a2b2-17537cb9908d</x:v>
      </x:c>
      <x:c r="C36" t="str">
        <x:v>LE DISCOURS INDIRECT au PRÉSENT</x:v>
      </x:c>
      <x:c r="D36" t="n">
        <x:v>186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f>MAX(D36-E36,0)</x:f>
        <x:v>186</x:v>
      </x:c>
      <x:c r="J36" s="24" t="n">
        <x:f>IF(D36=0,0,E36/D36)</x:f>
        <x:v>0</x:v>
      </x:c>
    </x:row>
    <x:row r="37">
      <x:c r="A37" t="n">
        <x:v>36</x:v>
      </x:c>
      <x:c r="B37" t="str">
        <x:v>03b37cc5-75e7-4209-9322-1f6401df4973</x:v>
      </x:c>
      <x:c r="C37" t="str">
        <x:v>LE GÉRONDIF</x:v>
      </x:c>
      <x:c r="D37" t="n">
        <x:v>170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f>MAX(D37-E37,0)</x:f>
        <x:v>170</x:v>
      </x:c>
      <x:c r="J37" s="24" t="n">
        <x:f>IF(D37=0,0,E37/D37)</x:f>
        <x:v>0</x:v>
      </x:c>
    </x:row>
    <x:row r="38">
      <x:c r="A38" t="n">
        <x:v>37</x:v>
      </x:c>
      <x:c r="B38" t="str">
        <x:v>7a66cb3a-470c-4ae3-ae32-325cf327c9f9</x:v>
      </x:c>
      <x:c r="C38" t="str">
        <x:v>LES PRÉPOSITIONS et LES VERBES</x:v>
      </x:c>
      <x:c r="D38" t="n">
        <x:v>233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f>MAX(D38-E38,0)</x:f>
        <x:v>233</x:v>
      </x:c>
      <x:c r="J38" s="24" t="n">
        <x:f>IF(D38=0,0,E38/D38)</x:f>
        <x:v>0</x:v>
      </x:c>
    </x:row>
    <x:row r="39">
      <x:c r="A39" t="n">
        <x:v>38</x:v>
      </x:c>
      <x:c r="B39" t="str">
        <x:v>d138adce-c139-454e-b3a3-1ff9464bd0e8</x:v>
      </x:c>
      <x:c r="C39" t="str">
        <x:v>LES VERBES de DÉPLACEMENT</x:v>
      </x:c>
      <x:c r="D39" t="n">
        <x:v>185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f>MAX(D39-E39,0)</x:f>
        <x:v>185</x:v>
      </x:c>
      <x:c r="J39" s="24" t="n">
        <x:f>IF(D39=0,0,E39/D39)</x:f>
        <x:v>0</x:v>
      </x:c>
    </x:row>
    <x:row r="40">
      <x:c r="A40" t="n">
        <x:v>39</x:v>
      </x:c>
      <x:c r="B40" t="str">
        <x:v>2cc8ffec-0888-40b2-bb6b-23bb8ebcd4f0</x:v>
      </x:c>
      <x:c r="C40" t="str">
        <x:v>LE FUTUR PROCHE</x:v>
      </x:c>
      <x:c r="D40" t="n">
        <x:v>189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f>MAX(D40-E40,0)</x:f>
        <x:v>189</x:v>
      </x:c>
      <x:c r="J40" s="24" t="n">
        <x:f>IF(D40=0,0,E40/D40)</x:f>
        <x:v>0</x:v>
      </x:c>
    </x:row>
    <x:row r="41">
      <x:c r="A41" t="n">
        <x:v>40</x:v>
      </x:c>
      <x:c r="B41" t="str">
        <x:v>a2303764-b3c6-4a78-a5eb-287adffcd970</x:v>
      </x:c>
      <x:c r="C41" t="str">
        <x:v>LE PASSÉ COMPOSÉ</x:v>
      </x:c>
      <x:c r="D41" t="n">
        <x:v>260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f>MAX(D41-E41,0)</x:f>
        <x:v>260</x:v>
      </x:c>
      <x:c r="J41" s="24" t="n">
        <x:f>IF(D41=0,0,E41/D41)</x:f>
        <x:v>0</x:v>
      </x:c>
    </x:row>
    <x:row r="42">
      <x:c r="A42" t="n">
        <x:v>41</x:v>
      </x:c>
      <x:c r="B42" t="str">
        <x:v>61d3b6b5-dd58-4ca4-b78d-521013ae2461</x:v>
      </x:c>
      <x:c r="C42" t="str">
        <x:v>LE TEMPS (3)</x:v>
      </x:c>
      <x:c r="D42" t="n">
        <x:v>202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f>MAX(D42-E42,0)</x:f>
        <x:v>202</x:v>
      </x:c>
      <x:c r="J42" s="24" t="n">
        <x:f>IF(D42=0,0,E42/D42)</x:f>
        <x:v>0</x:v>
      </x:c>
    </x:row>
    <x:row r="43">
      <x:c r="A43" t="n">
        <x:v>42</x:v>
      </x:c>
      <x:c r="B43" t="str">
        <x:v>79d5da54-9d06-473a-a60c-1c4cb74c38e1</x:v>
      </x:c>
      <x:c r="C43" t="str">
        <x:v>LE PASSIF</x:v>
      </x:c>
      <x:c r="D43" t="n">
        <x:v>183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f>MAX(D43-E43,0)</x:f>
        <x:v>183</x:v>
      </x:c>
      <x:c r="J43" s="24" t="n">
        <x:f>IF(D43=0,0,E43/D43)</x:f>
        <x:v>0</x:v>
      </x:c>
    </x:row>
    <x:row r="44">
      <x:c r="A44" t="n">
        <x:v>43</x:v>
      </x:c>
      <x:c r="B44" t="str">
        <x:v>1a7369fc-5f96-48eb-9433-a91853b0f074</x:v>
      </x:c>
      <x:c r="C44" t="str">
        <x:v>L’IMPARFAIT</x:v>
      </x:c>
      <x:c r="D44" t="n">
        <x:v>256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f>MAX(D44-E44,0)</x:f>
        <x:v>256</x:v>
      </x:c>
      <x:c r="J44" s="24" t="n">
        <x:f>IF(D44=0,0,E44/D44)</x:f>
        <x:v>0</x:v>
      </x:c>
    </x:row>
    <x:row r="45">
      <x:c r="A45" t="n">
        <x:v>44</x:v>
      </x:c>
      <x:c r="B45" t="str">
        <x:v>7b460b08-fac3-4f7c-bec0-0e1863fbcca3</x:v>
      </x:c>
      <x:c r="C45" t="str">
        <x:v>LE PLUS-QUE-PARFAIT</x:v>
      </x:c>
      <x:c r="D45" t="n">
        <x:v>198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f>MAX(D45-E45,0)</x:f>
        <x:v>198</x:v>
      </x:c>
      <x:c r="J45" s="24" t="n">
        <x:f>IF(D45=0,0,E45/D45)</x:f>
        <x:v>0</x:v>
      </x:c>
    </x:row>
    <x:row r="46">
      <x:c r="A46" t="n">
        <x:v>45</x:v>
      </x:c>
      <x:c r="B46" t="str">
        <x:v>ea5e63b4-af5e-438a-b50c-a3d9678296b6</x:v>
      </x:c>
      <x:c r="C46" t="str">
        <x:v>LE DISCOURS INDIRECT au PASSÉ</x:v>
      </x:c>
      <x:c r="D46" t="n">
        <x:v>167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f>MAX(D46-E46,0)</x:f>
        <x:v>167</x:v>
      </x:c>
      <x:c r="J46" s="24" t="n">
        <x:f>IF(D46=0,0,E46/D46)</x:f>
        <x:v>0</x:v>
      </x:c>
    </x:row>
    <x:row r="47">
      <x:c r="A47" t="n">
        <x:v>46</x:v>
      </x:c>
      <x:c r="B47" t="str">
        <x:v>fa21c54c-eda9-434c-9b4c-af896a3dfde0</x:v>
      </x:c>
      <x:c r="C47" t="str">
        <x:v>« VENIR de », « ÊTRE en TRAIN de », « ÊTRE sur le POINT de »</x:v>
      </x:c>
      <x:c r="D47" t="n">
        <x:v>156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f>MAX(D47-E47,0)</x:f>
        <x:v>156</x:v>
      </x:c>
      <x:c r="J47" s="24" t="n">
        <x:f>IF(D47=0,0,E47/D47)</x:f>
        <x:v>0</x:v>
      </x:c>
    </x:row>
    <x:row r="48">
      <x:c r="A48" t="n">
        <x:v>47</x:v>
      </x:c>
      <x:c r="B48" t="str">
        <x:v>9452d2bf-3b54-4cbe-9410-2a607d9d9903</x:v>
      </x:c>
      <x:c r="C48" t="str">
        <x:v>LE FUTUR SIMPLE</x:v>
      </x:c>
      <x:c r="D48" t="n">
        <x:v>230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f>MAX(D48-E48,0)</x:f>
        <x:v>230</x:v>
      </x:c>
      <x:c r="J48" s="24" t="n">
        <x:f>IF(D48=0,0,E48/D48)</x:f>
        <x:v>0</x:v>
      </x:c>
    </x:row>
    <x:row r="49">
      <x:c r="A49" t="n">
        <x:v>48</x:v>
      </x:c>
      <x:c r="B49" t="str">
        <x:v>c8b25314-e54b-4ec5-9a31-41e6af6cfab4</x:v>
      </x:c>
      <x:c r="C49" t="str">
        <x:v>LE FUTUR ANTÉRIEUR</x:v>
      </x:c>
      <x:c r="D49" t="n">
        <x:v>144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f>MAX(D49-E49,0)</x:f>
        <x:v>144</x:v>
      </x:c>
      <x:c r="J49" s="24" t="n">
        <x:f>IF(D49=0,0,E49/D49)</x:f>
        <x:v>0</x:v>
      </x:c>
    </x:row>
    <x:row r="50">
      <x:c r="A50" t="n">
        <x:v>49</x:v>
      </x:c>
      <x:c r="B50" t="str">
        <x:v>8492c636-b6f3-4368-97df-c4e0387ff946</x:v>
      </x:c>
      <x:c r="C50" t="str">
        <x:v>LE CONDITIONNEL (2)</x:v>
      </x:c>
      <x:c r="D50" t="n">
        <x:v>217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f>MAX(D50-E50,0)</x:f>
        <x:v>217</x:v>
      </x:c>
      <x:c r="J50" s="24" t="n">
        <x:f>IF(D50=0,0,E50/D50)</x:f>
        <x:v>0</x:v>
      </x:c>
    </x:row>
    <x:row r="51">
      <x:c r="A51" t="n">
        <x:v>50</x:v>
      </x:c>
      <x:c r="B51" t="str">
        <x:v>7292614b-ad5b-496f-836e-1ca257cb80cc</x:v>
      </x:c>
      <x:c r="C51" t="str">
        <x:v>LES HYPOTHÈSES</x:v>
      </x:c>
      <x:c r="D51" t="n">
        <x:v>233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f>MAX(D51-E51,0)</x:f>
        <x:v>233</x:v>
      </x:c>
      <x:c r="J51" s="24" t="n">
        <x:f>IF(D51=0,0,E51/D51)</x:f>
        <x:v>0</x:v>
      </x:c>
    </x:row>
    <x:row r="52">
      <x:c r="A52" t="n">
        <x:v>51</x:v>
      </x:c>
      <x:c r="B52" t="str">
        <x:v>5a20dade-1724-4c8a-887c-14dee287c1a2</x:v>
      </x:c>
      <x:c r="C52" t="str">
        <x:v>LE SUBJONCTIF</x:v>
      </x:c>
      <x:c r="D52" t="n">
        <x:v>238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f>MAX(D52-E52,0)</x:f>
        <x:v>238</x:v>
      </x:c>
      <x:c r="J52" s="24" t="n">
        <x:f>IF(D52=0,0,E52/D52)</x:f>
        <x:v>0</x:v>
      </x:c>
    </x:row>
    <x:row r="53">
      <x:c r="A53" t="n">
        <x:v>52</x:v>
      </x:c>
      <x:c r="B53" t="str">
        <x:v>f0a5d28c-4b03-42c8-bd92-0708737ab3f1</x:v>
      </x:c>
      <x:c r="C53" t="str">
        <x:v>LES RELATIONS LOGIQUES</x:v>
      </x:c>
      <x:c r="D53" t="n">
        <x:v>237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f>MAX(D53-E53,0)</x:f>
        <x:v>237</x:v>
      </x:c>
      <x:c r="J53" s="24" t="n">
        <x:f>IF(D53=0,0,E53/D53)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8" hidden="0" customWidth="1"/>
    <x:col min="4" max="4" width="20" hidden="0" customWidth="1"/>
    <x:col min="5" max="5" width="10" hidden="0" customWidth="1"/>
    <x:col min="6" max="6" width="11" hidden="0" customWidth="1"/>
    <x:col min="7" max="7" width="10" hidden="0" customWidth="1"/>
    <x:col min="8" max="8" width="14" hidden="0" customWidth="1"/>
    <x:col min="9" max="9" width="12" hidden="0" customWidth="1"/>
    <x:col min="10" max="10" width="11" hidden="0" customWidth="1"/>
    <x:col min="11" max="11" width="12" hidden="0" customWidth="1"/>
    <x:col min="12" max="12" width="11" hidden="0" customWidth="1"/>
    <x:col min="13" max="13" width="14" hidden="0" customWidth="1"/>
    <x:col min="14" max="14" width="20" hidden="0" customWidth="1"/>
    <x:col min="15" max="15" width="10" hidden="0" customWidth="1"/>
  </x:cols>
  <x:sheetData>
    <x:row r="1">
      <x:c r="A1" s="11" t="str">
        <x:v>lesson_no</x:v>
      </x:c>
      <x:c r="B1" s="11" t="str">
        <x:v>lesson_id</x:v>
      </x:c>
      <x:c r="C1" s="11" t="str">
        <x:v>title_fr_official</x:v>
      </x:c>
      <x:c r="D1" s="11" t="str">
        <x:v>profile</x:v>
      </x:c>
      <x:c r="E1" s="11" t="str">
        <x:v>easy_pct</x:v>
      </x:c>
      <x:c r="F1" s="11" t="str">
        <x:v>medium_pct</x:v>
      </x:c>
      <x:c r="G1" s="11" t="str">
        <x:v>hard_pct</x:v>
      </x:c>
      <x:c r="H1" s="11" t="str">
        <x:v>very_hard_pct</x:v>
      </x:c>
      <x:c r="I1" s="11" t="str">
        <x:v>target_full</x:v>
      </x:c>
      <x:c r="J1" s="11" t="str">
        <x:v>easy_full</x:v>
      </x:c>
      <x:c r="K1" s="11" t="str">
        <x:v>medium_full</x:v>
      </x:c>
      <x:c r="L1" s="11" t="str">
        <x:v>hard_full</x:v>
      </x:c>
      <x:c r="M1" s="11" t="str">
        <x:v>very_hard_full</x:v>
      </x:c>
      <x:c r="N1" s="11" t="str">
        <x:v>assignment_mode</x:v>
      </x:c>
      <x:c r="O1" s="11" t="str">
        <x:v>status</x:v>
      </x:c>
      <x:c r="Q1" s="11" t="str">
        <x:v>Aggregate Full</x:v>
      </x:c>
      <x:c r="R1" s="11" t="str">
        <x:v>Count</x:v>
      </x:c>
    </x:row>
    <x:row r="2">
      <x:c r="A2" t="str">
        <x:v>1</x:v>
      </x:c>
      <x:c r="B2" t="str">
        <x:v>eb643021-d5f2-4093-8fd2-835a2199ef3f</x:v>
      </x:c>
      <x:c r="C2" t="str">
        <x:v>LE VERBE « ÊTRE »</x:v>
      </x:c>
      <x:c r="D2" t="str">
        <x:v>FOUNDATION</x:v>
      </x:c>
      <x:c r="E2" t="n">
        <x:v>30</x:v>
      </x:c>
      <x:c r="F2" t="n">
        <x:v>45</x:v>
      </x:c>
      <x:c r="G2" t="n">
        <x:v>20</x:v>
      </x:c>
      <x:c r="H2" t="n">
        <x:v>5</x:v>
      </x:c>
      <x:c r="I2" t="n">
        <x:v>252</x:v>
      </x:c>
      <x:c r="J2" t="n">
        <x:v>76</x:v>
      </x:c>
      <x:c r="K2" t="n">
        <x:v>113</x:v>
      </x:c>
      <x:c r="L2" t="n">
        <x:v>50</x:v>
      </x:c>
      <x:c r="M2" t="n">
        <x:v>13</x:v>
      </x:c>
      <x:c r="N2" t="str">
        <x:v>AUTO_PROFILE</x:v>
      </x:c>
      <x:c r="O2" t="str">
        <x:v>PASS</x:v>
      </x:c>
      <x:c r="Q2" t="str">
        <x:v>Easy</x:v>
      </x:c>
      <x:c r="R2" t="n">
        <x:f>SUM(J2:J53)</x:f>
        <x:v>2180</x:v>
      </x:c>
    </x:row>
    <x:row r="3">
      <x:c r="A3" t="str">
        <x:v>2</x:v>
      </x:c>
      <x:c r="B3" t="str">
        <x:v>734f4892-3926-439e-b274-85e9d824e225</x:v>
      </x:c>
      <x:c r="C3" t="str">
        <x:v>L’ADJECTIF (1)</x:v>
      </x:c>
      <x:c r="D3" t="str">
        <x:v>FOUNDATION_COMPLEX</x:v>
      </x:c>
      <x:c r="E3" t="n">
        <x:v>25</x:v>
      </x:c>
      <x:c r="F3" t="n">
        <x:v>40</x:v>
      </x:c>
      <x:c r="G3" t="n">
        <x:v>30</x:v>
      </x:c>
      <x:c r="H3" t="n">
        <x:v>5</x:v>
      </x:c>
      <x:c r="I3" t="n">
        <x:v>209</x:v>
      </x:c>
      <x:c r="J3" t="n">
        <x:v>52</x:v>
      </x:c>
      <x:c r="K3" t="n">
        <x:v>84</x:v>
      </x:c>
      <x:c r="L3" t="n">
        <x:v>63</x:v>
      </x:c>
      <x:c r="M3" t="n">
        <x:v>10</x:v>
      </x:c>
      <x:c r="N3" t="str">
        <x:v>AUTO_PROFILE</x:v>
      </x:c>
      <x:c r="O3" t="str">
        <x:v>PASS</x:v>
      </x:c>
      <x:c r="Q3" t="str">
        <x:v>Medium</x:v>
      </x:c>
      <x:c r="R3" t="n">
        <x:f>SUM(K2:K53)</x:f>
        <x:v>4116</x:v>
      </x:c>
    </x:row>
    <x:row r="4">
      <x:c r="A4" t="str">
        <x:v>3</x:v>
      </x:c>
      <x:c r="B4" t="str">
        <x:v>3dd22b4a-1072-4ca6-91c1-662829b94758</x:v>
      </x:c>
      <x:c r="C4" t="str">
        <x:v>LA NÉGATION et L’INTERROGATION (1)</x:v>
      </x:c>
      <x:c r="D4" t="str">
        <x:v>FOUNDATION</x:v>
      </x:c>
      <x:c r="E4" t="n">
        <x:v>30</x:v>
      </x:c>
      <x:c r="F4" t="n">
        <x:v>45</x:v>
      </x:c>
      <x:c r="G4" t="n">
        <x:v>20</x:v>
      </x:c>
      <x:c r="H4" t="n">
        <x:v>5</x:v>
      </x:c>
      <x:c r="I4" t="n">
        <x:v>248</x:v>
      </x:c>
      <x:c r="J4" t="n">
        <x:v>74</x:v>
      </x:c>
      <x:c r="K4" t="n">
        <x:v>112</x:v>
      </x:c>
      <x:c r="L4" t="n">
        <x:v>50</x:v>
      </x:c>
      <x:c r="M4" t="n">
        <x:v>12</x:v>
      </x:c>
      <x:c r="N4" t="str">
        <x:v>AUTO_PROFILE</x:v>
      </x:c>
      <x:c r="O4" t="str">
        <x:v>PASS</x:v>
      </x:c>
      <x:c r="Q4" t="str">
        <x:v>Hard</x:v>
      </x:c>
      <x:c r="R4" t="n">
        <x:f>SUM(L2:L53)</x:f>
        <x:v>3203</x:v>
      </x:c>
    </x:row>
    <x:row r="5">
      <x:c r="A5" t="str">
        <x:v>4</x:v>
      </x:c>
      <x:c r="B5" t="str">
        <x:v>26acbe21-6e4d-4c22-a0e6-27e27f3bb5ab</x:v>
      </x:c>
      <x:c r="C5" t="str">
        <x:v>LE NOM et L’ARTICLE</x:v>
      </x:c>
      <x:c r="D5" t="str">
        <x:v>FOUNDATION</x:v>
      </x:c>
      <x:c r="E5" t="n">
        <x:v>30</x:v>
      </x:c>
      <x:c r="F5" t="n">
        <x:v>45</x:v>
      </x:c>
      <x:c r="G5" t="n">
        <x:v>20</x:v>
      </x:c>
      <x:c r="H5" t="n">
        <x:v>5</x:v>
      </x:c>
      <x:c r="I5" t="n">
        <x:v>252</x:v>
      </x:c>
      <x:c r="J5" t="n">
        <x:v>76</x:v>
      </x:c>
      <x:c r="K5" t="n">
        <x:v>113</x:v>
      </x:c>
      <x:c r="L5" t="n">
        <x:v>50</x:v>
      </x:c>
      <x:c r="M5" t="n">
        <x:v>13</x:v>
      </x:c>
      <x:c r="N5" t="str">
        <x:v>AUTO_PROFILE</x:v>
      </x:c>
      <x:c r="O5" t="str">
        <x:v>PASS</x:v>
      </x:c>
      <x:c r="Q5" t="str">
        <x:v>Very Hard</x:v>
      </x:c>
      <x:c r="R5" t="n">
        <x:f>SUM(M2:M53)</x:f>
        <x:v>1137</x:v>
      </x:c>
    </x:row>
    <x:row r="6">
      <x:c r="A6" t="str">
        <x:v>5</x:v>
      </x:c>
      <x:c r="B6" t="str">
        <x:v>99f46643-99ba-428d-bdaf-193d018572cc</x:v>
      </x:c>
      <x:c r="C6" t="str">
        <x:v>« C’EST » et « IL EST »</x:v>
      </x:c>
      <x:c r="D6" t="str">
        <x:v>DISCRIMINATION</x:v>
      </x:c>
      <x:c r="E6" t="n">
        <x:v>15</x:v>
      </x:c>
      <x:c r="F6" t="n">
        <x:v>35</x:v>
      </x:c>
      <x:c r="G6" t="n">
        <x:v>35</x:v>
      </x:c>
      <x:c r="H6" t="n">
        <x:v>15</x:v>
      </x:c>
      <x:c r="I6" t="n">
        <x:v>218</x:v>
      </x:c>
      <x:c r="J6" t="n">
        <x:v>33</x:v>
      </x:c>
      <x:c r="K6" t="n">
        <x:v>76</x:v>
      </x:c>
      <x:c r="L6" t="n">
        <x:v>76</x:v>
      </x:c>
      <x:c r="M6" t="n">
        <x:v>33</x:v>
      </x:c>
      <x:c r="N6" t="str">
        <x:v>AUTO_PROFILE</x:v>
      </x:c>
      <x:c r="O6" t="str">
        <x:v>PASS</x:v>
      </x:c>
      <x:c r="Q6" t="str">
        <x:v>Total</x:v>
      </x:c>
      <x:c r="R6" t="n">
        <x:f>SUM(R2:R5)</x:f>
        <x:v>10636</x:v>
      </x:c>
    </x:row>
    <x:row r="7">
      <x:c r="A7" t="str">
        <x:v>6</x:v>
      </x:c>
      <x:c r="B7" t="str">
        <x:v>f07ba2d4-e9cf-441c-ad53-85194d85e1ff</x:v>
      </x:c>
      <x:c r="C7" t="str">
        <x:v>LES POSSESSIFS</x:v>
      </x:c>
      <x:c r="D7" t="str">
        <x:v>BASELINE</x:v>
      </x:c>
      <x:c r="E7" t="n">
        <x:v>20</x:v>
      </x:c>
      <x:c r="F7" t="n">
        <x:v>40</x:v>
      </x:c>
      <x:c r="G7" t="n">
        <x:v>30</x:v>
      </x:c>
      <x:c r="H7" t="n">
        <x:v>10</x:v>
      </x:c>
      <x:c r="I7" t="n">
        <x:v>169</x:v>
      </x:c>
      <x:c r="J7" t="n">
        <x:v>34</x:v>
      </x:c>
      <x:c r="K7" t="n">
        <x:v>67</x:v>
      </x:c>
      <x:c r="L7" t="n">
        <x:v>51</x:v>
      </x:c>
      <x:c r="M7" t="n">
        <x:v>17</x:v>
      </x:c>
      <x:c r="N7" t="str">
        <x:v>AUTO_PROFILE</x:v>
      </x:c>
      <x:c r="O7" t="str">
        <x:v>PASS</x:v>
      </x:c>
    </x:row>
    <x:row r="8">
      <x:c r="A8" t="str">
        <x:v>7</x:v>
      </x:c>
      <x:c r="B8" t="str">
        <x:v>4bf7f7a6-29e0-471a-8b5c-3740f60b5c8e</x:v>
      </x:c>
      <x:c r="C8" t="str">
        <x:v>LES NOMS de PARENTÉ et de GROUPE</x:v>
      </x:c>
      <x:c r="D8" t="str">
        <x:v>BASELINE</x:v>
      </x:c>
      <x:c r="E8" t="n">
        <x:v>20</x:v>
      </x:c>
      <x:c r="F8" t="n">
        <x:v>40</x:v>
      </x:c>
      <x:c r="G8" t="n">
        <x:v>30</x:v>
      </x:c>
      <x:c r="H8" t="n">
        <x:v>10</x:v>
      </x:c>
      <x:c r="I8" t="n">
        <x:v>100</x:v>
      </x:c>
      <x:c r="J8" t="n">
        <x:v>20</x:v>
      </x:c>
      <x:c r="K8" t="n">
        <x:v>40</x:v>
      </x:c>
      <x:c r="L8" t="n">
        <x:v>30</x:v>
      </x:c>
      <x:c r="M8" t="n">
        <x:v>10</x:v>
      </x:c>
      <x:c r="N8" t="str">
        <x:v>AUTO_PROFILE</x:v>
      </x:c>
      <x:c r="O8" t="str">
        <x:v>PASS</x:v>
      </x:c>
    </x:row>
    <x:row r="9">
      <x:c r="A9" t="str">
        <x:v>8</x:v>
      </x:c>
      <x:c r="B9" t="str">
        <x:v>d68e9726-6d53-4ffb-935c-fd8f24aae9ec</x:v>
      </x:c>
      <x:c r="C9" t="str">
        <x:v>LES DÉMONSTRATIFS</x:v>
      </x:c>
      <x:c r="D9" t="str">
        <x:v>BASELINE</x:v>
      </x:c>
      <x:c r="E9" t="n">
        <x:v>20</x:v>
      </x:c>
      <x:c r="F9" t="n">
        <x:v>40</x:v>
      </x:c>
      <x:c r="G9" t="n">
        <x:v>30</x:v>
      </x:c>
      <x:c r="H9" t="n">
        <x:v>10</x:v>
      </x:c>
      <x:c r="I9" t="n">
        <x:v>169</x:v>
      </x:c>
      <x:c r="J9" t="n">
        <x:v>34</x:v>
      </x:c>
      <x:c r="K9" t="n">
        <x:v>67</x:v>
      </x:c>
      <x:c r="L9" t="n">
        <x:v>51</x:v>
      </x:c>
      <x:c r="M9" t="n">
        <x:v>17</x:v>
      </x:c>
      <x:c r="N9" t="str">
        <x:v>AUTO_PROFILE</x:v>
      </x:c>
      <x:c r="O9" t="str">
        <x:v>PASS</x:v>
      </x:c>
    </x:row>
    <x:row r="10">
      <x:c r="A10" t="str">
        <x:v>9</x:v>
      </x:c>
      <x:c r="B10" t="str">
        <x:v>3a93c97f-cdce-4896-98be-892e3354b7fc</x:v>
      </x:c>
      <x:c r="C10" t="str">
        <x:v>« IL Y A » et « C’EST »</x:v>
      </x:c>
      <x:c r="D10" t="str">
        <x:v>DISCRIMINATION</x:v>
      </x:c>
      <x:c r="E10" t="n">
        <x:v>15</x:v>
      </x:c>
      <x:c r="F10" t="n">
        <x:v>35</x:v>
      </x:c>
      <x:c r="G10" t="n">
        <x:v>35</x:v>
      </x:c>
      <x:c r="H10" t="n">
        <x:v>15</x:v>
      </x:c>
      <x:c r="I10" t="n">
        <x:v>189</x:v>
      </x:c>
      <x:c r="J10" t="n">
        <x:v>29</x:v>
      </x:c>
      <x:c r="K10" t="n">
        <x:v>66</x:v>
      </x:c>
      <x:c r="L10" t="n">
        <x:v>66</x:v>
      </x:c>
      <x:c r="M10" t="n">
        <x:v>28</x:v>
      </x:c>
      <x:c r="N10" t="str">
        <x:v>AUTO_PROFILE</x:v>
      </x:c>
      <x:c r="O10" t="str">
        <x:v>PASS</x:v>
      </x:c>
    </x:row>
    <x:row r="11">
      <x:c r="A11" t="str">
        <x:v>10</x:v>
      </x:c>
      <x:c r="B11" t="str">
        <x:v>988143e8-7e0e-46e1-94a0-f87f7a1267f5</x:v>
      </x:c>
      <x:c r="C11" t="str">
        <x:v>LA SITUATION dans l’ESPACE (1)</x:v>
      </x:c>
      <x:c r="D11" t="str">
        <x:v>FOUNDATION</x:v>
      </x:c>
      <x:c r="E11" t="n">
        <x:v>30</x:v>
      </x:c>
      <x:c r="F11" t="n">
        <x:v>45</x:v>
      </x:c>
      <x:c r="G11" t="n">
        <x:v>20</x:v>
      </x:c>
      <x:c r="H11" t="n">
        <x:v>5</x:v>
      </x:c>
      <x:c r="I11" t="n">
        <x:v>207</x:v>
      </x:c>
      <x:c r="J11" t="n">
        <x:v>62</x:v>
      </x:c>
      <x:c r="K11" t="n">
        <x:v>93</x:v>
      </x:c>
      <x:c r="L11" t="n">
        <x:v>42</x:v>
      </x:c>
      <x:c r="M11" t="n">
        <x:v>10</x:v>
      </x:c>
      <x:c r="N11" t="str">
        <x:v>AUTO_PROFILE</x:v>
      </x:c>
      <x:c r="O11" t="str">
        <x:v>PASS</x:v>
      </x:c>
    </x:row>
    <x:row r="12">
      <x:c r="A12" t="str">
        <x:v>11</x:v>
      </x:c>
      <x:c r="B12" t="str">
        <x:v>a02fe5a3-8336-4749-8b93-f43d0a82948a</x:v>
      </x:c>
      <x:c r="C12" t="str">
        <x:v>LE VERBE « AVOIR »</x:v>
      </x:c>
      <x:c r="D12" t="str">
        <x:v>FOUNDATION</x:v>
      </x:c>
      <x:c r="E12" t="n">
        <x:v>30</x:v>
      </x:c>
      <x:c r="F12" t="n">
        <x:v>45</x:v>
      </x:c>
      <x:c r="G12" t="n">
        <x:v>20</x:v>
      </x:c>
      <x:c r="H12" t="n">
        <x:v>5</x:v>
      </x:c>
      <x:c r="I12" t="n">
        <x:v>244</x:v>
      </x:c>
      <x:c r="J12" t="n">
        <x:v>73</x:v>
      </x:c>
      <x:c r="K12" t="n">
        <x:v>110</x:v>
      </x:c>
      <x:c r="L12" t="n">
        <x:v>49</x:v>
      </x:c>
      <x:c r="M12" t="n">
        <x:v>12</x:v>
      </x:c>
      <x:c r="N12" t="str">
        <x:v>AUTO_PROFILE</x:v>
      </x:c>
      <x:c r="O12" t="str">
        <x:v>PASS</x:v>
      </x:c>
    </x:row>
    <x:row r="13">
      <x:c r="A13" t="str">
        <x:v>12</x:v>
      </x:c>
      <x:c r="B13" t="str">
        <x:v>ec78c6b7-50f2-4fcf-8ecd-63c1a84e5e41</x:v>
      </x:c>
      <x:c r="C13" t="str">
        <x:v>L’ADJECTIF (2)</x:v>
      </x:c>
      <x:c r="D13" t="str">
        <x:v>DISCRIMINATION</x:v>
      </x:c>
      <x:c r="E13" t="n">
        <x:v>15</x:v>
      </x:c>
      <x:c r="F13" t="n">
        <x:v>35</x:v>
      </x:c>
      <x:c r="G13" t="n">
        <x:v>35</x:v>
      </x:c>
      <x:c r="H13" t="n">
        <x:v>15</x:v>
      </x:c>
      <x:c r="I13" t="n">
        <x:v>167</x:v>
      </x:c>
      <x:c r="J13" t="n">
        <x:v>25</x:v>
      </x:c>
      <x:c r="K13" t="n">
        <x:v>59</x:v>
      </x:c>
      <x:c r="L13" t="n">
        <x:v>58</x:v>
      </x:c>
      <x:c r="M13" t="n">
        <x:v>25</x:v>
      </x:c>
      <x:c r="N13" t="str">
        <x:v>AUTO_PROFILE</x:v>
      </x:c>
      <x:c r="O13" t="str">
        <x:v>PASS</x:v>
      </x:c>
    </x:row>
    <x:row r="14">
      <x:c r="A14" t="str">
        <x:v>13</x:v>
      </x:c>
      <x:c r="B14" t="str">
        <x:v>99f4cbed-373c-4bf4-affd-8eda53373a56</x:v>
      </x:c>
      <x:c r="C14" t="str">
        <x:v>LES NOMBRES</x:v>
      </x:c>
      <x:c r="D14" t="str">
        <x:v>BASELINE</x:v>
      </x:c>
      <x:c r="E14" t="n">
        <x:v>20</x:v>
      </x:c>
      <x:c r="F14" t="n">
        <x:v>40</x:v>
      </x:c>
      <x:c r="G14" t="n">
        <x:v>30</x:v>
      </x:c>
      <x:c r="H14" t="n">
        <x:v>10</x:v>
      </x:c>
      <x:c r="I14" t="n">
        <x:v>173</x:v>
      </x:c>
      <x:c r="J14" t="n">
        <x:v>35</x:v>
      </x:c>
      <x:c r="K14" t="n">
        <x:v>69</x:v>
      </x:c>
      <x:c r="L14" t="n">
        <x:v>52</x:v>
      </x:c>
      <x:c r="M14" t="n">
        <x:v>17</x:v>
      </x:c>
      <x:c r="N14" t="str">
        <x:v>AUTO_PROFILE</x:v>
      </x:c>
      <x:c r="O14" t="str">
        <x:v>PASS</x:v>
      </x:c>
    </x:row>
    <x:row r="15">
      <x:c r="A15" t="str">
        <x:v>14</x:v>
      </x:c>
      <x:c r="B15" t="str">
        <x:v>8b0727a3-b94e-4d9d-bb86-9a0045b8685a</x:v>
      </x:c>
      <x:c r="C15" t="str">
        <x:v>LE TEMPS (1)</x:v>
      </x:c>
      <x:c r="D15" t="str">
        <x:v>BASELINE</x:v>
      </x:c>
      <x:c r="E15" t="n">
        <x:v>20</x:v>
      </x:c>
      <x:c r="F15" t="n">
        <x:v>40</x:v>
      </x:c>
      <x:c r="G15" t="n">
        <x:v>30</x:v>
      </x:c>
      <x:c r="H15" t="n">
        <x:v>10</x:v>
      </x:c>
      <x:c r="I15" t="n">
        <x:v>199</x:v>
      </x:c>
      <x:c r="J15" t="n">
        <x:v>40</x:v>
      </x:c>
      <x:c r="K15" t="n">
        <x:v>79</x:v>
      </x:c>
      <x:c r="L15" t="n">
        <x:v>60</x:v>
      </x:c>
      <x:c r="M15" t="n">
        <x:v>20</x:v>
      </x:c>
      <x:c r="N15" t="str">
        <x:v>AUTO_PROFILE</x:v>
      </x:c>
      <x:c r="O15" t="str">
        <x:v>PASS</x:v>
      </x:c>
    </x:row>
    <x:row r="16">
      <x:c r="A16" t="str">
        <x:v>15</x:v>
      </x:c>
      <x:c r="B16" t="str">
        <x:v>b182d62b-44dc-4893-b88c-75ef935c0111</x:v>
      </x:c>
      <x:c r="C16" t="str">
        <x:v>LES INDÉFINIS</x:v>
      </x:c>
      <x:c r="D16" t="str">
        <x:v>DISCRIMINATION</x:v>
      </x:c>
      <x:c r="E16" t="n">
        <x:v>15</x:v>
      </x:c>
      <x:c r="F16" t="n">
        <x:v>35</x:v>
      </x:c>
      <x:c r="G16" t="n">
        <x:v>35</x:v>
      </x:c>
      <x:c r="H16" t="n">
        <x:v>15</x:v>
      </x:c>
      <x:c r="I16" t="n">
        <x:v>183</x:v>
      </x:c>
      <x:c r="J16" t="n">
        <x:v>28</x:v>
      </x:c>
      <x:c r="K16" t="n">
        <x:v>64</x:v>
      </x:c>
      <x:c r="L16" t="n">
        <x:v>64</x:v>
      </x:c>
      <x:c r="M16" t="n">
        <x:v>27</x:v>
      </x:c>
      <x:c r="N16" t="str">
        <x:v>AUTO_PROFILE</x:v>
      </x:c>
      <x:c r="O16" t="str">
        <x:v>PASS</x:v>
      </x:c>
    </x:row>
    <x:row r="17">
      <x:c r="A17" t="str">
        <x:v>16</x:v>
      </x:c>
      <x:c r="B17" t="str">
        <x:v>619fe3c8-586f-4038-8ea0-e5ad5085412d</x:v>
      </x:c>
      <x:c r="C17" t="str">
        <x:v>LES VERBES en « -ER » au PRÉSENT</x:v>
      </x:c>
      <x:c r="D17" t="str">
        <x:v>FOUNDATION</x:v>
      </x:c>
      <x:c r="E17" t="n">
        <x:v>30</x:v>
      </x:c>
      <x:c r="F17" t="n">
        <x:v>45</x:v>
      </x:c>
      <x:c r="G17" t="n">
        <x:v>20</x:v>
      </x:c>
      <x:c r="H17" t="n">
        <x:v>5</x:v>
      </x:c>
      <x:c r="I17" t="n">
        <x:v>262</x:v>
      </x:c>
      <x:c r="J17" t="n">
        <x:v>79</x:v>
      </x:c>
      <x:c r="K17" t="n">
        <x:v>118</x:v>
      </x:c>
      <x:c r="L17" t="n">
        <x:v>52</x:v>
      </x:c>
      <x:c r="M17" t="n">
        <x:v>13</x:v>
      </x:c>
      <x:c r="N17" t="str">
        <x:v>AUTO_PROFILE</x:v>
      </x:c>
      <x:c r="O17" t="str">
        <x:v>PASS</x:v>
      </x:c>
    </x:row>
    <x:row r="18">
      <x:c r="A18" t="str">
        <x:v>17</x:v>
      </x:c>
      <x:c r="B18" t="str">
        <x:v>e3b8941a-3506-4903-b9f5-ede88a288def</x:v>
      </x:c>
      <x:c r="C18" t="str">
        <x:v>LE TEMPS (2)</x:v>
      </x:c>
      <x:c r="D18" t="str">
        <x:v>BASELINE</x:v>
      </x:c>
      <x:c r="E18" t="n">
        <x:v>20</x:v>
      </x:c>
      <x:c r="F18" t="n">
        <x:v>40</x:v>
      </x:c>
      <x:c r="G18" t="n">
        <x:v>30</x:v>
      </x:c>
      <x:c r="H18" t="n">
        <x:v>10</x:v>
      </x:c>
      <x:c r="I18" t="n">
        <x:v>199</x:v>
      </x:c>
      <x:c r="J18" t="n">
        <x:v>40</x:v>
      </x:c>
      <x:c r="K18" t="n">
        <x:v>79</x:v>
      </x:c>
      <x:c r="L18" t="n">
        <x:v>60</x:v>
      </x:c>
      <x:c r="M18" t="n">
        <x:v>20</x:v>
      </x:c>
      <x:c r="N18" t="str">
        <x:v>AUTO_PROFILE</x:v>
      </x:c>
      <x:c r="O18" t="str">
        <x:v>PASS</x:v>
      </x:c>
    </x:row>
    <x:row r="19">
      <x:c r="A19" t="str">
        <x:v>18</x:v>
      </x:c>
      <x:c r="B19" t="str">
        <x:v>ec290ee6-f705-4b74-98db-7e4079c54d60</x:v>
      </x:c>
      <x:c r="C19" t="str">
        <x:v>L’ADVERBE</x:v>
      </x:c>
      <x:c r="D19" t="str">
        <x:v>BASELINE</x:v>
      </x:c>
      <x:c r="E19" t="n">
        <x:v>20</x:v>
      </x:c>
      <x:c r="F19" t="n">
        <x:v>40</x:v>
      </x:c>
      <x:c r="G19" t="n">
        <x:v>30</x:v>
      </x:c>
      <x:c r="H19" t="n">
        <x:v>10</x:v>
      </x:c>
      <x:c r="I19" t="n">
        <x:v>218</x:v>
      </x:c>
      <x:c r="J19" t="n">
        <x:v>44</x:v>
      </x:c>
      <x:c r="K19" t="n">
        <x:v>87</x:v>
      </x:c>
      <x:c r="L19" t="n">
        <x:v>65</x:v>
      </x:c>
      <x:c r="M19" t="n">
        <x:v>22</x:v>
      </x:c>
      <x:c r="N19" t="str">
        <x:v>AUTO_PROFILE</x:v>
      </x:c>
      <x:c r="O19" t="str">
        <x:v>PASS</x:v>
      </x:c>
    </x:row>
    <x:row r="20">
      <x:c r="A20" t="str">
        <x:v>19</x:v>
      </x:c>
      <x:c r="B20" t="str">
        <x:v>cb9bdbbf-0955-46a6-b979-69203ff4d988</x:v>
      </x:c>
      <x:c r="C20" t="str">
        <x:v>L’EXPRESSION de la QUANTITÉ</x:v>
      </x:c>
      <x:c r="D20" t="str">
        <x:v>FOUNDATION</x:v>
      </x:c>
      <x:c r="E20" t="n">
        <x:v>30</x:v>
      </x:c>
      <x:c r="F20" t="n">
        <x:v>45</x:v>
      </x:c>
      <x:c r="G20" t="n">
        <x:v>20</x:v>
      </x:c>
      <x:c r="H20" t="n">
        <x:v>5</x:v>
      </x:c>
      <x:c r="I20" t="n">
        <x:v>204</x:v>
      </x:c>
      <x:c r="J20" t="n">
        <x:v>61</x:v>
      </x:c>
      <x:c r="K20" t="n">
        <x:v>92</x:v>
      </x:c>
      <x:c r="L20" t="n">
        <x:v>41</x:v>
      </x:c>
      <x:c r="M20" t="n">
        <x:v>10</x:v>
      </x:c>
      <x:c r="N20" t="str">
        <x:v>AUTO_PROFILE</x:v>
      </x:c>
      <x:c r="O20" t="str">
        <x:v>PASS</x:v>
      </x:c>
    </x:row>
    <x:row r="21">
      <x:c r="A21" t="str">
        <x:v>20</x:v>
      </x:c>
      <x:c r="B21" t="str">
        <x:v>dd8aa1ed-067c-4e17-a9db-10d3b630688a</x:v>
      </x:c>
      <x:c r="C21" t="str">
        <x:v>LE PRONOM « EN »</x:v>
      </x:c>
      <x:c r="D21" t="str">
        <x:v>FOUNDATION</x:v>
      </x:c>
      <x:c r="E21" t="n">
        <x:v>30</x:v>
      </x:c>
      <x:c r="F21" t="n">
        <x:v>45</x:v>
      </x:c>
      <x:c r="G21" t="n">
        <x:v>20</x:v>
      </x:c>
      <x:c r="H21" t="n">
        <x:v>5</x:v>
      </x:c>
      <x:c r="I21" t="n">
        <x:v>215</x:v>
      </x:c>
      <x:c r="J21" t="n">
        <x:v>64</x:v>
      </x:c>
      <x:c r="K21" t="n">
        <x:v>97</x:v>
      </x:c>
      <x:c r="L21" t="n">
        <x:v>43</x:v>
      </x:c>
      <x:c r="M21" t="n">
        <x:v>11</x:v>
      </x:c>
      <x:c r="N21" t="str">
        <x:v>AUTO_PROFILE</x:v>
      </x:c>
      <x:c r="O21" t="str">
        <x:v>PASS</x:v>
      </x:c>
    </x:row>
    <x:row r="22">
      <x:c r="A22" t="str">
        <x:v>21</x:v>
      </x:c>
      <x:c r="B22" t="str">
        <x:v>a7d4b7ab-babf-44fd-8d1b-09d273f60704</x:v>
      </x:c>
      <x:c r="C22" t="str">
        <x:v>LA SITUATION dans l’ESPACE (2)</x:v>
      </x:c>
      <x:c r="D22" t="str">
        <x:v>BASELINE</x:v>
      </x:c>
      <x:c r="E22" t="n">
        <x:v>20</x:v>
      </x:c>
      <x:c r="F22" t="n">
        <x:v>40</x:v>
      </x:c>
      <x:c r="G22" t="n">
        <x:v>30</x:v>
      </x:c>
      <x:c r="H22" t="n">
        <x:v>10</x:v>
      </x:c>
      <x:c r="I22" t="n">
        <x:v>150</x:v>
      </x:c>
      <x:c r="J22" t="n">
        <x:v>30</x:v>
      </x:c>
      <x:c r="K22" t="n">
        <x:v>60</x:v>
      </x:c>
      <x:c r="L22" t="n">
        <x:v>45</x:v>
      </x:c>
      <x:c r="M22" t="n">
        <x:v>15</x:v>
      </x:c>
      <x:c r="N22" t="str">
        <x:v>AUTO_PROFILE</x:v>
      </x:c>
      <x:c r="O22" t="str">
        <x:v>PASS</x:v>
      </x:c>
    </x:row>
    <x:row r="23">
      <x:c r="A23" t="str">
        <x:v>22</x:v>
      </x:c>
      <x:c r="B23" t="str">
        <x:v>526ffab9-fc9b-4221-997e-e57dfbf9694a</x:v>
      </x:c>
      <x:c r="C23" t="str">
        <x:v>LE COMPARATIF et LE SUPERLATIF</x:v>
      </x:c>
      <x:c r="D23" t="str">
        <x:v>DISCRIMINATION</x:v>
      </x:c>
      <x:c r="E23" t="n">
        <x:v>15</x:v>
      </x:c>
      <x:c r="F23" t="n">
        <x:v>35</x:v>
      </x:c>
      <x:c r="G23" t="n">
        <x:v>35</x:v>
      </x:c>
      <x:c r="H23" t="n">
        <x:v>15</x:v>
      </x:c>
      <x:c r="I23" t="n">
        <x:v>181</x:v>
      </x:c>
      <x:c r="J23" t="n">
        <x:v>27</x:v>
      </x:c>
      <x:c r="K23" t="n">
        <x:v>64</x:v>
      </x:c>
      <x:c r="L23" t="n">
        <x:v>63</x:v>
      </x:c>
      <x:c r="M23" t="n">
        <x:v>27</x:v>
      </x:c>
      <x:c r="N23" t="str">
        <x:v>AUTO_PROFILE</x:v>
      </x:c>
      <x:c r="O23" t="str">
        <x:v>PASS</x:v>
      </x:c>
    </x:row>
    <x:row r="24">
      <x:c r="A24" t="str">
        <x:v>23</x:v>
      </x:c>
      <x:c r="B24" t="str">
        <x:v>327c43bc-8757-4e51-aff0-9c04775c57cf</x:v>
      </x:c>
      <x:c r="C24" t="str">
        <x:v>LE VERBE « ALLER »</x:v>
      </x:c>
      <x:c r="D24" t="str">
        <x:v>FOUNDATION</x:v>
      </x:c>
      <x:c r="E24" t="n">
        <x:v>30</x:v>
      </x:c>
      <x:c r="F24" t="n">
        <x:v>45</x:v>
      </x:c>
      <x:c r="G24" t="n">
        <x:v>20</x:v>
      </x:c>
      <x:c r="H24" t="n">
        <x:v>5</x:v>
      </x:c>
      <x:c r="I24" t="n">
        <x:v>223</x:v>
      </x:c>
      <x:c r="J24" t="n">
        <x:v>67</x:v>
      </x:c>
      <x:c r="K24" t="n">
        <x:v>100</x:v>
      </x:c>
      <x:c r="L24" t="n">
        <x:v>45</x:v>
      </x:c>
      <x:c r="M24" t="n">
        <x:v>11</x:v>
      </x:c>
      <x:c r="N24" t="str">
        <x:v>AUTO_PROFILE</x:v>
      </x:c>
      <x:c r="O24" t="str">
        <x:v>PASS</x:v>
      </x:c>
    </x:row>
    <x:row r="25">
      <x:c r="A25" t="str">
        <x:v>24</x:v>
      </x:c>
      <x:c r="B25" t="str">
        <x:v>e3b468de-4bc2-4b96-b4dc-0bfa0c3d5a85</x:v>
      </x:c>
      <x:c r="C25" t="str">
        <x:v>LE PRONOM « Y »</x:v>
      </x:c>
      <x:c r="D25" t="str">
        <x:v>FOUNDATION</x:v>
      </x:c>
      <x:c r="E25" t="n">
        <x:v>30</x:v>
      </x:c>
      <x:c r="F25" t="n">
        <x:v>45</x:v>
      </x:c>
      <x:c r="G25" t="n">
        <x:v>20</x:v>
      </x:c>
      <x:c r="H25" t="n">
        <x:v>5</x:v>
      </x:c>
      <x:c r="I25" t="n">
        <x:v>190</x:v>
      </x:c>
      <x:c r="J25" t="n">
        <x:v>57</x:v>
      </x:c>
      <x:c r="K25" t="n">
        <x:v>86</x:v>
      </x:c>
      <x:c r="L25" t="n">
        <x:v>38</x:v>
      </x:c>
      <x:c r="M25" t="n">
        <x:v>9</x:v>
      </x:c>
      <x:c r="N25" t="str">
        <x:v>AUTO_PROFILE</x:v>
      </x:c>
      <x:c r="O25" t="str">
        <x:v>PASS</x:v>
      </x:c>
    </x:row>
    <x:row r="26">
      <x:c r="A26" t="str">
        <x:v>25</x:v>
      </x:c>
      <x:c r="B26" t="str">
        <x:v>aece8fe7-c303-4257-a531-a3d6e0f242de</x:v>
      </x:c>
      <x:c r="C26" t="str">
        <x:v>LA SITUATION dans l’ESPACE et le TEMPS (3)</x:v>
      </x:c>
      <x:c r="D26" t="str">
        <x:v>BASELINE</x:v>
      </x:c>
      <x:c r="E26" t="n">
        <x:v>20</x:v>
      </x:c>
      <x:c r="F26" t="n">
        <x:v>40</x:v>
      </x:c>
      <x:c r="G26" t="n">
        <x:v>30</x:v>
      </x:c>
      <x:c r="H26" t="n">
        <x:v>10</x:v>
      </x:c>
      <x:c r="I26" t="n">
        <x:v>174</x:v>
      </x:c>
      <x:c r="J26" t="n">
        <x:v>35</x:v>
      </x:c>
      <x:c r="K26" t="n">
        <x:v>70</x:v>
      </x:c>
      <x:c r="L26" t="n">
        <x:v>52</x:v>
      </x:c>
      <x:c r="M26" t="n">
        <x:v>17</x:v>
      </x:c>
      <x:c r="N26" t="str">
        <x:v>AUTO_PROFILE</x:v>
      </x:c>
      <x:c r="O26" t="str">
        <x:v>PASS</x:v>
      </x:c>
    </x:row>
    <x:row r="27">
      <x:c r="A27" t="str">
        <x:v>26</x:v>
      </x:c>
      <x:c r="B27" t="str">
        <x:v>6ad0bf53-cab8-4037-8548-6e73441d1620</x:v>
      </x:c>
      <x:c r="C27" t="str">
        <x:v>LES VERBES en « -IR », « -OIR » et « -RE » au PRÉSENT</x:v>
      </x:c>
      <x:c r="D27" t="str">
        <x:v>FOUNDATION_COMPLEX</x:v>
      </x:c>
      <x:c r="E27" t="n">
        <x:v>25</x:v>
      </x:c>
      <x:c r="F27" t="n">
        <x:v>40</x:v>
      </x:c>
      <x:c r="G27" t="n">
        <x:v>30</x:v>
      </x:c>
      <x:c r="H27" t="n">
        <x:v>5</x:v>
      </x:c>
      <x:c r="I27" t="n">
        <x:v>264</x:v>
      </x:c>
      <x:c r="J27" t="n">
        <x:v>66</x:v>
      </x:c>
      <x:c r="K27" t="n">
        <x:v>106</x:v>
      </x:c>
      <x:c r="L27" t="n">
        <x:v>79</x:v>
      </x:c>
      <x:c r="M27" t="n">
        <x:v>13</x:v>
      </x:c>
      <x:c r="N27" t="str">
        <x:v>AUTO_PROFILE</x:v>
      </x:c>
      <x:c r="O27" t="str">
        <x:v>PASS</x:v>
      </x:c>
    </x:row>
    <x:row r="28">
      <x:c r="A28" t="str">
        <x:v>27</x:v>
      </x:c>
      <x:c r="B28" t="str">
        <x:v>e5bfdde7-6889-4829-ad65-06a572af5f97</x:v>
      </x:c>
      <x:c r="C28" t="str">
        <x:v>LES VERBES PRONOMINAUX</x:v>
      </x:c>
      <x:c r="D28" t="str">
        <x:v>BASELINE</x:v>
      </x:c>
      <x:c r="E28" t="n">
        <x:v>20</x:v>
      </x:c>
      <x:c r="F28" t="n">
        <x:v>40</x:v>
      </x:c>
      <x:c r="G28" t="n">
        <x:v>30</x:v>
      </x:c>
      <x:c r="H28" t="n">
        <x:v>10</x:v>
      </x:c>
      <x:c r="I28" t="n">
        <x:v>215</x:v>
      </x:c>
      <x:c r="J28" t="n">
        <x:v>43</x:v>
      </x:c>
      <x:c r="K28" t="n">
        <x:v>86</x:v>
      </x:c>
      <x:c r="L28" t="n">
        <x:v>65</x:v>
      </x:c>
      <x:c r="M28" t="n">
        <x:v>21</x:v>
      </x:c>
      <x:c r="N28" t="str">
        <x:v>AUTO_PROFILE</x:v>
      </x:c>
      <x:c r="O28" t="str">
        <x:v>PASS</x:v>
      </x:c>
    </x:row>
    <x:row r="29">
      <x:c r="A29" t="str">
        <x:v>28</x:v>
      </x:c>
      <x:c r="B29" t="str">
        <x:v>2ad099b6-e9f4-4b96-8883-d88977fc94b4</x:v>
      </x:c>
      <x:c r="C29" t="str">
        <x:v>LES PRONOMS COMPLÉMENTS</x:v>
      </x:c>
      <x:c r="D29" t="str">
        <x:v>FOUNDATION</x:v>
      </x:c>
      <x:c r="E29" t="n">
        <x:v>30</x:v>
      </x:c>
      <x:c r="F29" t="n">
        <x:v>45</x:v>
      </x:c>
      <x:c r="G29" t="n">
        <x:v>20</x:v>
      </x:c>
      <x:c r="H29" t="n">
        <x:v>5</x:v>
      </x:c>
      <x:c r="I29" t="n">
        <x:v>243</x:v>
      </x:c>
      <x:c r="J29" t="n">
        <x:v>73</x:v>
      </x:c>
      <x:c r="K29" t="n">
        <x:v>109</x:v>
      </x:c>
      <x:c r="L29" t="n">
        <x:v>49</x:v>
      </x:c>
      <x:c r="M29" t="n">
        <x:v>12</x:v>
      </x:c>
      <x:c r="N29" t="str">
        <x:v>AUTO_PROFILE</x:v>
      </x:c>
      <x:c r="O29" t="str">
        <x:v>PASS</x:v>
      </x:c>
    </x:row>
    <x:row r="30">
      <x:c r="A30" t="str">
        <x:v>29</x:v>
      </x:c>
      <x:c r="B30" t="str">
        <x:v>0259af3a-8df3-4f28-ad02-62a99368c409</x:v>
      </x:c>
      <x:c r="C30" t="str">
        <x:v>LES PRONOMS TONIQUES</x:v>
      </x:c>
      <x:c r="D30" t="str">
        <x:v>BASELINE</x:v>
      </x:c>
      <x:c r="E30" t="n">
        <x:v>20</x:v>
      </x:c>
      <x:c r="F30" t="n">
        <x:v>40</x:v>
      </x:c>
      <x:c r="G30" t="n">
        <x:v>30</x:v>
      </x:c>
      <x:c r="H30" t="n">
        <x:v>10</x:v>
      </x:c>
      <x:c r="I30" t="n">
        <x:v>186</x:v>
      </x:c>
      <x:c r="J30" t="n">
        <x:v>37</x:v>
      </x:c>
      <x:c r="K30" t="n">
        <x:v>74</x:v>
      </x:c>
      <x:c r="L30" t="n">
        <x:v>56</x:v>
      </x:c>
      <x:c r="M30" t="n">
        <x:v>19</x:v>
      </x:c>
      <x:c r="N30" t="str">
        <x:v>AUTO_PROFILE</x:v>
      </x:c>
      <x:c r="O30" t="str">
        <x:v>PASS</x:v>
      </x:c>
    </x:row>
    <x:row r="31">
      <x:c r="A31" t="str">
        <x:v>30</x:v>
      </x:c>
      <x:c r="B31" t="str">
        <x:v>b24408b6-c9b4-4fbc-9b92-ad4d2ae13876</x:v>
      </x:c>
      <x:c r="C31" t="str">
        <x:v>L’IMPÉRATIF</x:v>
      </x:c>
      <x:c r="D31" t="str">
        <x:v>DISCRIMINATION</x:v>
      </x:c>
      <x:c r="E31" t="n">
        <x:v>15</x:v>
      </x:c>
      <x:c r="F31" t="n">
        <x:v>35</x:v>
      </x:c>
      <x:c r="G31" t="n">
        <x:v>35</x:v>
      </x:c>
      <x:c r="H31" t="n">
        <x:v>15</x:v>
      </x:c>
      <x:c r="I31" t="n">
        <x:v>162</x:v>
      </x:c>
      <x:c r="J31" t="n">
        <x:v>24</x:v>
      </x:c>
      <x:c r="K31" t="n">
        <x:v>57</x:v>
      </x:c>
      <x:c r="L31" t="n">
        <x:v>57</x:v>
      </x:c>
      <x:c r="M31" t="n">
        <x:v>24</x:v>
      </x:c>
      <x:c r="N31" t="str">
        <x:v>AUTO_PROFILE</x:v>
      </x:c>
      <x:c r="O31" t="str">
        <x:v>PASS</x:v>
      </x:c>
    </x:row>
    <x:row r="32">
      <x:c r="A32" t="str">
        <x:v>31</x:v>
      </x:c>
      <x:c r="B32" t="str">
        <x:v>83d883bf-5242-4dc2-bed6-dad1585746db</x:v>
      </x:c>
      <x:c r="C32" t="str">
        <x:v>LE CONDITIONNEL (1)</x:v>
      </x:c>
      <x:c r="D32" t="str">
        <x:v>DISCRIMINATION</x:v>
      </x:c>
      <x:c r="E32" t="n">
        <x:v>15</x:v>
      </x:c>
      <x:c r="F32" t="n">
        <x:v>35</x:v>
      </x:c>
      <x:c r="G32" t="n">
        <x:v>35</x:v>
      </x:c>
      <x:c r="H32" t="n">
        <x:v>15</x:v>
      </x:c>
      <x:c r="I32" t="n">
        <x:v>205</x:v>
      </x:c>
      <x:c r="J32" t="n">
        <x:v>31</x:v>
      </x:c>
      <x:c r="K32" t="n">
        <x:v>72</x:v>
      </x:c>
      <x:c r="L32" t="n">
        <x:v>72</x:v>
      </x:c>
      <x:c r="M32" t="n">
        <x:v>30</x:v>
      </x:c>
      <x:c r="N32" t="str">
        <x:v>AUTO_PROFILE</x:v>
      </x:c>
      <x:c r="O32" t="str">
        <x:v>PASS</x:v>
      </x:c>
    </x:row>
    <x:row r="33">
      <x:c r="A33" t="str">
        <x:v>32</x:v>
      </x:c>
      <x:c r="B33" t="str">
        <x:v>4ec05ffb-8465-4c5c-9a50-d67136ad0472</x:v>
      </x:c>
      <x:c r="C33" t="str">
        <x:v>LES RELATIFS</x:v>
      </x:c>
      <x:c r="D33" t="str">
        <x:v>DISCRIMINATION</x:v>
      </x:c>
      <x:c r="E33" t="n">
        <x:v>15</x:v>
      </x:c>
      <x:c r="F33" t="n">
        <x:v>35</x:v>
      </x:c>
      <x:c r="G33" t="n">
        <x:v>35</x:v>
      </x:c>
      <x:c r="H33" t="n">
        <x:v>15</x:v>
      </x:c>
      <x:c r="I33" t="n">
        <x:v>233</x:v>
      </x:c>
      <x:c r="J33" t="n">
        <x:v>35</x:v>
      </x:c>
      <x:c r="K33" t="n">
        <x:v>82</x:v>
      </x:c>
      <x:c r="L33" t="n">
        <x:v>81</x:v>
      </x:c>
      <x:c r="M33" t="n">
        <x:v>35</x:v>
      </x:c>
      <x:c r="N33" t="str">
        <x:v>AUTO_PROFILE</x:v>
      </x:c>
      <x:c r="O33" t="str">
        <x:v>PASS</x:v>
      </x:c>
    </x:row>
    <x:row r="34">
      <x:c r="A34" t="str">
        <x:v>33</x:v>
      </x:c>
      <x:c r="B34" t="str">
        <x:v>1854197b-634e-4db7-893c-7e9b6bcbf004</x:v>
      </x:c>
      <x:c r="C34" t="str">
        <x:v>L’INTERROGATION (2)</x:v>
      </x:c>
      <x:c r="D34" t="str">
        <x:v>DISCRIMINATION</x:v>
      </x:c>
      <x:c r="E34" t="n">
        <x:v>15</x:v>
      </x:c>
      <x:c r="F34" t="n">
        <x:v>35</x:v>
      </x:c>
      <x:c r="G34" t="n">
        <x:v>35</x:v>
      </x:c>
      <x:c r="H34" t="n">
        <x:v>15</x:v>
      </x:c>
      <x:c r="I34" t="n">
        <x:v>227</x:v>
      </x:c>
      <x:c r="J34" t="n">
        <x:v>34</x:v>
      </x:c>
      <x:c r="K34" t="n">
        <x:v>80</x:v>
      </x:c>
      <x:c r="L34" t="n">
        <x:v>79</x:v>
      </x:c>
      <x:c r="M34" t="n">
        <x:v>34</x:v>
      </x:c>
      <x:c r="N34" t="str">
        <x:v>AUTO_PROFILE</x:v>
      </x:c>
      <x:c r="O34" t="str">
        <x:v>PASS</x:v>
      </x:c>
    </x:row>
    <x:row r="35">
      <x:c r="A35" t="str">
        <x:v>34</x:v>
      </x:c>
      <x:c r="B35" t="str">
        <x:v>7a8563ae-ac42-49d2-bddd-42140c4e5245</x:v>
      </x:c>
      <x:c r="C35" t="str">
        <x:v>LA NÉGATION (2)</x:v>
      </x:c>
      <x:c r="D35" t="str">
        <x:v>DISCRIMINATION</x:v>
      </x:c>
      <x:c r="E35" t="n">
        <x:v>15</x:v>
      </x:c>
      <x:c r="F35" t="n">
        <x:v>35</x:v>
      </x:c>
      <x:c r="G35" t="n">
        <x:v>35</x:v>
      </x:c>
      <x:c r="H35" t="n">
        <x:v>15</x:v>
      </x:c>
      <x:c r="I35" t="n">
        <x:v>222</x:v>
      </x:c>
      <x:c r="J35" t="n">
        <x:v>33</x:v>
      </x:c>
      <x:c r="K35" t="n">
        <x:v>78</x:v>
      </x:c>
      <x:c r="L35" t="n">
        <x:v>78</x:v>
      </x:c>
      <x:c r="M35" t="n">
        <x:v>33</x:v>
      </x:c>
      <x:c r="N35" t="str">
        <x:v>AUTO_PROFILE</x:v>
      </x:c>
      <x:c r="O35" t="str">
        <x:v>PASS</x:v>
      </x:c>
    </x:row>
    <x:row r="36">
      <x:c r="A36" t="str">
        <x:v>35</x:v>
      </x:c>
      <x:c r="B36" t="str">
        <x:v>83287154-f6ce-4595-a2b2-17537cb9908d</x:v>
      </x:c>
      <x:c r="C36" t="str">
        <x:v>LE DISCOURS INDIRECT au PRÉSENT</x:v>
      </x:c>
      <x:c r="D36" t="str">
        <x:v>DISCRIMINATION</x:v>
      </x:c>
      <x:c r="E36" t="n">
        <x:v>15</x:v>
      </x:c>
      <x:c r="F36" t="n">
        <x:v>35</x:v>
      </x:c>
      <x:c r="G36" t="n">
        <x:v>35</x:v>
      </x:c>
      <x:c r="H36" t="n">
        <x:v>15</x:v>
      </x:c>
      <x:c r="I36" t="n">
        <x:v>186</x:v>
      </x:c>
      <x:c r="J36" t="n">
        <x:v>28</x:v>
      </x:c>
      <x:c r="K36" t="n">
        <x:v>65</x:v>
      </x:c>
      <x:c r="L36" t="n">
        <x:v>65</x:v>
      </x:c>
      <x:c r="M36" t="n">
        <x:v>28</x:v>
      </x:c>
      <x:c r="N36" t="str">
        <x:v>AUTO_PROFILE</x:v>
      </x:c>
      <x:c r="O36" t="str">
        <x:v>PASS</x:v>
      </x:c>
    </x:row>
    <x:row r="37">
      <x:c r="A37" t="str">
        <x:v>36</x:v>
      </x:c>
      <x:c r="B37" t="str">
        <x:v>03b37cc5-75e7-4209-9322-1f6401df4973</x:v>
      </x:c>
      <x:c r="C37" t="str">
        <x:v>LE GÉRONDIF</x:v>
      </x:c>
      <x:c r="D37" t="str">
        <x:v>BASELINE</x:v>
      </x:c>
      <x:c r="E37" t="n">
        <x:v>20</x:v>
      </x:c>
      <x:c r="F37" t="n">
        <x:v>40</x:v>
      </x:c>
      <x:c r="G37" t="n">
        <x:v>30</x:v>
      </x:c>
      <x:c r="H37" t="n">
        <x:v>10</x:v>
      </x:c>
      <x:c r="I37" t="n">
        <x:v>170</x:v>
      </x:c>
      <x:c r="J37" t="n">
        <x:v>34</x:v>
      </x:c>
      <x:c r="K37" t="n">
        <x:v>68</x:v>
      </x:c>
      <x:c r="L37" t="n">
        <x:v>51</x:v>
      </x:c>
      <x:c r="M37" t="n">
        <x:v>17</x:v>
      </x:c>
      <x:c r="N37" t="str">
        <x:v>AUTO_PROFILE</x:v>
      </x:c>
      <x:c r="O37" t="str">
        <x:v>PASS</x:v>
      </x:c>
    </x:row>
    <x:row r="38">
      <x:c r="A38" t="str">
        <x:v>37</x:v>
      </x:c>
      <x:c r="B38" t="str">
        <x:v>7a66cb3a-470c-4ae3-ae32-325cf327c9f9</x:v>
      </x:c>
      <x:c r="C38" t="str">
        <x:v>LES PRÉPOSITIONS et LES VERBES</x:v>
      </x:c>
      <x:c r="D38" t="str">
        <x:v>DISCRIMINATION</x:v>
      </x:c>
      <x:c r="E38" t="n">
        <x:v>15</x:v>
      </x:c>
      <x:c r="F38" t="n">
        <x:v>35</x:v>
      </x:c>
      <x:c r="G38" t="n">
        <x:v>35</x:v>
      </x:c>
      <x:c r="H38" t="n">
        <x:v>15</x:v>
      </x:c>
      <x:c r="I38" t="n">
        <x:v>233</x:v>
      </x:c>
      <x:c r="J38" t="n">
        <x:v>35</x:v>
      </x:c>
      <x:c r="K38" t="n">
        <x:v>82</x:v>
      </x:c>
      <x:c r="L38" t="n">
        <x:v>81</x:v>
      </x:c>
      <x:c r="M38" t="n">
        <x:v>35</x:v>
      </x:c>
      <x:c r="N38" t="str">
        <x:v>AUTO_PROFILE</x:v>
      </x:c>
      <x:c r="O38" t="str">
        <x:v>PASS</x:v>
      </x:c>
    </x:row>
    <x:row r="39">
      <x:c r="A39" t="str">
        <x:v>38</x:v>
      </x:c>
      <x:c r="B39" t="str">
        <x:v>d138adce-c139-454e-b3a3-1ff9464bd0e8</x:v>
      </x:c>
      <x:c r="C39" t="str">
        <x:v>LES VERBES de DÉPLACEMENT</x:v>
      </x:c>
      <x:c r="D39" t="str">
        <x:v>BASELINE</x:v>
      </x:c>
      <x:c r="E39" t="n">
        <x:v>20</x:v>
      </x:c>
      <x:c r="F39" t="n">
        <x:v>40</x:v>
      </x:c>
      <x:c r="G39" t="n">
        <x:v>30</x:v>
      </x:c>
      <x:c r="H39" t="n">
        <x:v>10</x:v>
      </x:c>
      <x:c r="I39" t="n">
        <x:v>185</x:v>
      </x:c>
      <x:c r="J39" t="n">
        <x:v>37</x:v>
      </x:c>
      <x:c r="K39" t="n">
        <x:v>74</x:v>
      </x:c>
      <x:c r="L39" t="n">
        <x:v>56</x:v>
      </x:c>
      <x:c r="M39" t="n">
        <x:v>18</x:v>
      </x:c>
      <x:c r="N39" t="str">
        <x:v>AUTO_PROFILE</x:v>
      </x:c>
      <x:c r="O39" t="str">
        <x:v>PASS</x:v>
      </x:c>
    </x:row>
    <x:row r="40">
      <x:c r="A40" t="str">
        <x:v>39</x:v>
      </x:c>
      <x:c r="B40" t="str">
        <x:v>2cc8ffec-0888-40b2-bb6b-23bb8ebcd4f0</x:v>
      </x:c>
      <x:c r="C40" t="str">
        <x:v>LE FUTUR PROCHE</x:v>
      </x:c>
      <x:c r="D40" t="str">
        <x:v>BASELINE</x:v>
      </x:c>
      <x:c r="E40" t="n">
        <x:v>20</x:v>
      </x:c>
      <x:c r="F40" t="n">
        <x:v>40</x:v>
      </x:c>
      <x:c r="G40" t="n">
        <x:v>30</x:v>
      </x:c>
      <x:c r="H40" t="n">
        <x:v>10</x:v>
      </x:c>
      <x:c r="I40" t="n">
        <x:v>189</x:v>
      </x:c>
      <x:c r="J40" t="n">
        <x:v>38</x:v>
      </x:c>
      <x:c r="K40" t="n">
        <x:v>75</x:v>
      </x:c>
      <x:c r="L40" t="n">
        <x:v>57</x:v>
      </x:c>
      <x:c r="M40" t="n">
        <x:v>19</x:v>
      </x:c>
      <x:c r="N40" t="str">
        <x:v>CONTROLLED_OVERRIDE</x:v>
      </x:c>
      <x:c r="O40" t="str">
        <x:v>PASS</x:v>
      </x:c>
    </x:row>
    <x:row r="41">
      <x:c r="A41" t="str">
        <x:v>40</x:v>
      </x:c>
      <x:c r="B41" t="str">
        <x:v>a2303764-b3c6-4a78-a5eb-287adffcd970</x:v>
      </x:c>
      <x:c r="C41" t="str">
        <x:v>LE PASSÉ COMPOSÉ</x:v>
      </x:c>
      <x:c r="D41" t="str">
        <x:v>COMPLEX</x:v>
      </x:c>
      <x:c r="E41" t="n">
        <x:v>15</x:v>
      </x:c>
      <x:c r="F41" t="n">
        <x:v>30</x:v>
      </x:c>
      <x:c r="G41" t="n">
        <x:v>40</x:v>
      </x:c>
      <x:c r="H41" t="n">
        <x:v>15</x:v>
      </x:c>
      <x:c r="I41" t="n">
        <x:v>260</x:v>
      </x:c>
      <x:c r="J41" t="n">
        <x:v>39</x:v>
      </x:c>
      <x:c r="K41" t="n">
        <x:v>78</x:v>
      </x:c>
      <x:c r="L41" t="n">
        <x:v>104</x:v>
      </x:c>
      <x:c r="M41" t="n">
        <x:v>39</x:v>
      </x:c>
      <x:c r="N41" t="str">
        <x:v>AUTO_PROFILE</x:v>
      </x:c>
      <x:c r="O41" t="str">
        <x:v>PASS</x:v>
      </x:c>
    </x:row>
    <x:row r="42">
      <x:c r="A42" t="str">
        <x:v>41</x:v>
      </x:c>
      <x:c r="B42" t="str">
        <x:v>61d3b6b5-dd58-4ca4-b78d-521013ae2461</x:v>
      </x:c>
      <x:c r="C42" t="str">
        <x:v>LE TEMPS (3)</x:v>
      </x:c>
      <x:c r="D42" t="str">
        <x:v>BASELINE</x:v>
      </x:c>
      <x:c r="E42" t="n">
        <x:v>20</x:v>
      </x:c>
      <x:c r="F42" t="n">
        <x:v>40</x:v>
      </x:c>
      <x:c r="G42" t="n">
        <x:v>30</x:v>
      </x:c>
      <x:c r="H42" t="n">
        <x:v>10</x:v>
      </x:c>
      <x:c r="I42" t="n">
        <x:v>202</x:v>
      </x:c>
      <x:c r="J42" t="n">
        <x:v>40</x:v>
      </x:c>
      <x:c r="K42" t="n">
        <x:v>81</x:v>
      </x:c>
      <x:c r="L42" t="n">
        <x:v>61</x:v>
      </x:c>
      <x:c r="M42" t="n">
        <x:v>20</x:v>
      </x:c>
      <x:c r="N42" t="str">
        <x:v>AUTO_PROFILE</x:v>
      </x:c>
      <x:c r="O42" t="str">
        <x:v>PASS</x:v>
      </x:c>
    </x:row>
    <x:row r="43">
      <x:c r="A43" t="str">
        <x:v>42</x:v>
      </x:c>
      <x:c r="B43" t="str">
        <x:v>79d5da54-9d06-473a-a60c-1c4cb74c38e1</x:v>
      </x:c>
      <x:c r="C43" t="str">
        <x:v>LE PASSIF</x:v>
      </x:c>
      <x:c r="D43" t="str">
        <x:v>BASELINE</x:v>
      </x:c>
      <x:c r="E43" t="n">
        <x:v>20</x:v>
      </x:c>
      <x:c r="F43" t="n">
        <x:v>40</x:v>
      </x:c>
      <x:c r="G43" t="n">
        <x:v>30</x:v>
      </x:c>
      <x:c r="H43" t="n">
        <x:v>10</x:v>
      </x:c>
      <x:c r="I43" t="n">
        <x:v>183</x:v>
      </x:c>
      <x:c r="J43" t="n">
        <x:v>37</x:v>
      </x:c>
      <x:c r="K43" t="n">
        <x:v>73</x:v>
      </x:c>
      <x:c r="L43" t="n">
        <x:v>55</x:v>
      </x:c>
      <x:c r="M43" t="n">
        <x:v>18</x:v>
      </x:c>
      <x:c r="N43" t="str">
        <x:v>AUTO_PROFILE</x:v>
      </x:c>
      <x:c r="O43" t="str">
        <x:v>PASS</x:v>
      </x:c>
    </x:row>
    <x:row r="44">
      <x:c r="A44" t="str">
        <x:v>43</x:v>
      </x:c>
      <x:c r="B44" t="str">
        <x:v>1a7369fc-5f96-48eb-9433-a91853b0f074</x:v>
      </x:c>
      <x:c r="C44" t="str">
        <x:v>L’IMPARFAIT</x:v>
      </x:c>
      <x:c r="D44" t="str">
        <x:v>DISCRIMINATION</x:v>
      </x:c>
      <x:c r="E44" t="n">
        <x:v>15</x:v>
      </x:c>
      <x:c r="F44" t="n">
        <x:v>35</x:v>
      </x:c>
      <x:c r="G44" t="n">
        <x:v>35</x:v>
      </x:c>
      <x:c r="H44" t="n">
        <x:v>15</x:v>
      </x:c>
      <x:c r="I44" t="n">
        <x:v>256</x:v>
      </x:c>
      <x:c r="J44" t="n">
        <x:v>38</x:v>
      </x:c>
      <x:c r="K44" t="n">
        <x:v>90</x:v>
      </x:c>
      <x:c r="L44" t="n">
        <x:v>90</x:v>
      </x:c>
      <x:c r="M44" t="n">
        <x:v>38</x:v>
      </x:c>
      <x:c r="N44" t="str">
        <x:v>AUTO_PROFILE</x:v>
      </x:c>
      <x:c r="O44" t="str">
        <x:v>PASS</x:v>
      </x:c>
    </x:row>
    <x:row r="45">
      <x:c r="A45" t="str">
        <x:v>44</x:v>
      </x:c>
      <x:c r="B45" t="str">
        <x:v>7b460b08-fac3-4f7c-bec0-0e1863fbcca3</x:v>
      </x:c>
      <x:c r="C45" t="str">
        <x:v>LE PLUS-QUE-PARFAIT</x:v>
      </x:c>
      <x:c r="D45" t="str">
        <x:v>DISCRIMINATION</x:v>
      </x:c>
      <x:c r="E45" t="n">
        <x:v>15</x:v>
      </x:c>
      <x:c r="F45" t="n">
        <x:v>35</x:v>
      </x:c>
      <x:c r="G45" t="n">
        <x:v>35</x:v>
      </x:c>
      <x:c r="H45" t="n">
        <x:v>15</x:v>
      </x:c>
      <x:c r="I45" t="n">
        <x:v>198</x:v>
      </x:c>
      <x:c r="J45" t="n">
        <x:v>30</x:v>
      </x:c>
      <x:c r="K45" t="n">
        <x:v>69</x:v>
      </x:c>
      <x:c r="L45" t="n">
        <x:v>69</x:v>
      </x:c>
      <x:c r="M45" t="n">
        <x:v>30</x:v>
      </x:c>
      <x:c r="N45" t="str">
        <x:v>AUTO_PROFILE</x:v>
      </x:c>
      <x:c r="O45" t="str">
        <x:v>PASS</x:v>
      </x:c>
    </x:row>
    <x:row r="46">
      <x:c r="A46" t="str">
        <x:v>45</x:v>
      </x:c>
      <x:c r="B46" t="str">
        <x:v>ea5e63b4-af5e-438a-b50c-a3d9678296b6</x:v>
      </x:c>
      <x:c r="C46" t="str">
        <x:v>LE DISCOURS INDIRECT au PASSÉ</x:v>
      </x:c>
      <x:c r="D46" t="str">
        <x:v>DISCRIMINATION</x:v>
      </x:c>
      <x:c r="E46" t="n">
        <x:v>15</x:v>
      </x:c>
      <x:c r="F46" t="n">
        <x:v>35</x:v>
      </x:c>
      <x:c r="G46" t="n">
        <x:v>35</x:v>
      </x:c>
      <x:c r="H46" t="n">
        <x:v>15</x:v>
      </x:c>
      <x:c r="I46" t="n">
        <x:v>167</x:v>
      </x:c>
      <x:c r="J46" t="n">
        <x:v>25</x:v>
      </x:c>
      <x:c r="K46" t="n">
        <x:v>59</x:v>
      </x:c>
      <x:c r="L46" t="n">
        <x:v>58</x:v>
      </x:c>
      <x:c r="M46" t="n">
        <x:v>25</x:v>
      </x:c>
      <x:c r="N46" t="str">
        <x:v>AUTO_PROFILE</x:v>
      </x:c>
      <x:c r="O46" t="str">
        <x:v>PASS</x:v>
      </x:c>
    </x:row>
    <x:row r="47">
      <x:c r="A47" t="str">
        <x:v>46</x:v>
      </x:c>
      <x:c r="B47" t="str">
        <x:v>fa21c54c-eda9-434c-9b4c-af896a3dfde0</x:v>
      </x:c>
      <x:c r="C47" t="str">
        <x:v>« VENIR de », « ÊTRE en TRAIN de », « ÊTRE sur le POINT de »</x:v>
      </x:c>
      <x:c r="D47" t="str">
        <x:v>BASELINE</x:v>
      </x:c>
      <x:c r="E47" t="n">
        <x:v>20</x:v>
      </x:c>
      <x:c r="F47" t="n">
        <x:v>40</x:v>
      </x:c>
      <x:c r="G47" t="n">
        <x:v>30</x:v>
      </x:c>
      <x:c r="H47" t="n">
        <x:v>10</x:v>
      </x:c>
      <x:c r="I47" t="n">
        <x:v>156</x:v>
      </x:c>
      <x:c r="J47" t="n">
        <x:v>31</x:v>
      </x:c>
      <x:c r="K47" t="n">
        <x:v>62</x:v>
      </x:c>
      <x:c r="L47" t="n">
        <x:v>47</x:v>
      </x:c>
      <x:c r="M47" t="n">
        <x:v>16</x:v>
      </x:c>
      <x:c r="N47" t="str">
        <x:v>AUTO_PROFILE</x:v>
      </x:c>
      <x:c r="O47" t="str">
        <x:v>PASS</x:v>
      </x:c>
    </x:row>
    <x:row r="48">
      <x:c r="A48" t="str">
        <x:v>47</x:v>
      </x:c>
      <x:c r="B48" t="str">
        <x:v>9452d2bf-3b54-4cbe-9410-2a607d9d9903</x:v>
      </x:c>
      <x:c r="C48" t="str">
        <x:v>LE FUTUR SIMPLE</x:v>
      </x:c>
      <x:c r="D48" t="str">
        <x:v>DISCRIMINATION</x:v>
      </x:c>
      <x:c r="E48" t="n">
        <x:v>15</x:v>
      </x:c>
      <x:c r="F48" t="n">
        <x:v>35</x:v>
      </x:c>
      <x:c r="G48" t="n">
        <x:v>35</x:v>
      </x:c>
      <x:c r="H48" t="n">
        <x:v>15</x:v>
      </x:c>
      <x:c r="I48" t="n">
        <x:v>230</x:v>
      </x:c>
      <x:c r="J48" t="n">
        <x:v>35</x:v>
      </x:c>
      <x:c r="K48" t="n">
        <x:v>81</x:v>
      </x:c>
      <x:c r="L48" t="n">
        <x:v>80</x:v>
      </x:c>
      <x:c r="M48" t="n">
        <x:v>34</x:v>
      </x:c>
      <x:c r="N48" t="str">
        <x:v>AUTO_PROFILE</x:v>
      </x:c>
      <x:c r="O48" t="str">
        <x:v>PASS</x:v>
      </x:c>
    </x:row>
    <x:row r="49">
      <x:c r="A49" t="str">
        <x:v>48</x:v>
      </x:c>
      <x:c r="B49" t="str">
        <x:v>c8b25314-e54b-4ec5-9a31-41e6af6cfab4</x:v>
      </x:c>
      <x:c r="C49" t="str">
        <x:v>LE FUTUR ANTÉRIEUR</x:v>
      </x:c>
      <x:c r="D49" t="str">
        <x:v>DISCRIMINATION</x:v>
      </x:c>
      <x:c r="E49" t="n">
        <x:v>15</x:v>
      </x:c>
      <x:c r="F49" t="n">
        <x:v>35</x:v>
      </x:c>
      <x:c r="G49" t="n">
        <x:v>35</x:v>
      </x:c>
      <x:c r="H49" t="n">
        <x:v>15</x:v>
      </x:c>
      <x:c r="I49" t="n">
        <x:v>144</x:v>
      </x:c>
      <x:c r="J49" t="n">
        <x:v>22</x:v>
      </x:c>
      <x:c r="K49" t="n">
        <x:v>50</x:v>
      </x:c>
      <x:c r="L49" t="n">
        <x:v>50</x:v>
      </x:c>
      <x:c r="M49" t="n">
        <x:v>22</x:v>
      </x:c>
      <x:c r="N49" t="str">
        <x:v>AUTO_PROFILE</x:v>
      </x:c>
      <x:c r="O49" t="str">
        <x:v>PASS</x:v>
      </x:c>
    </x:row>
    <x:row r="50">
      <x:c r="A50" t="str">
        <x:v>49</x:v>
      </x:c>
      <x:c r="B50" t="str">
        <x:v>8492c636-b6f3-4368-97df-c4e0387ff946</x:v>
      </x:c>
      <x:c r="C50" t="str">
        <x:v>LE CONDITIONNEL (2)</x:v>
      </x:c>
      <x:c r="D50" t="str">
        <x:v>DISCRIMINATION</x:v>
      </x:c>
      <x:c r="E50" t="n">
        <x:v>15</x:v>
      </x:c>
      <x:c r="F50" t="n">
        <x:v>35</x:v>
      </x:c>
      <x:c r="G50" t="n">
        <x:v>35</x:v>
      </x:c>
      <x:c r="H50" t="n">
        <x:v>15</x:v>
      </x:c>
      <x:c r="I50" t="n">
        <x:v>217</x:v>
      </x:c>
      <x:c r="J50" t="n">
        <x:v>33</x:v>
      </x:c>
      <x:c r="K50" t="n">
        <x:v>76</x:v>
      </x:c>
      <x:c r="L50" t="n">
        <x:v>76</x:v>
      </x:c>
      <x:c r="M50" t="n">
        <x:v>32</x:v>
      </x:c>
      <x:c r="N50" t="str">
        <x:v>AUTO_PROFILE</x:v>
      </x:c>
      <x:c r="O50" t="str">
        <x:v>PASS</x:v>
      </x:c>
    </x:row>
    <x:row r="51">
      <x:c r="A51" t="str">
        <x:v>50</x:v>
      </x:c>
      <x:c r="B51" t="str">
        <x:v>7292614b-ad5b-496f-836e-1ca257cb80cc</x:v>
      </x:c>
      <x:c r="C51" t="str">
        <x:v>LES HYPOTHÈSES</x:v>
      </x:c>
      <x:c r="D51" t="str">
        <x:v>DISCRIMINATION</x:v>
      </x:c>
      <x:c r="E51" t="n">
        <x:v>15</x:v>
      </x:c>
      <x:c r="F51" t="n">
        <x:v>35</x:v>
      </x:c>
      <x:c r="G51" t="n">
        <x:v>35</x:v>
      </x:c>
      <x:c r="H51" t="n">
        <x:v>15</x:v>
      </x:c>
      <x:c r="I51" t="n">
        <x:v>233</x:v>
      </x:c>
      <x:c r="J51" t="n">
        <x:v>35</x:v>
      </x:c>
      <x:c r="K51" t="n">
        <x:v>82</x:v>
      </x:c>
      <x:c r="L51" t="n">
        <x:v>81</x:v>
      </x:c>
      <x:c r="M51" t="n">
        <x:v>35</x:v>
      </x:c>
      <x:c r="N51" t="str">
        <x:v>AUTO_PROFILE</x:v>
      </x:c>
      <x:c r="O51" t="str">
        <x:v>PASS</x:v>
      </x:c>
    </x:row>
    <x:row r="52">
      <x:c r="A52" t="str">
        <x:v>51</x:v>
      </x:c>
      <x:c r="B52" t="str">
        <x:v>5a20dade-1724-4c8a-887c-14dee287c1a2</x:v>
      </x:c>
      <x:c r="C52" t="str">
        <x:v>LE SUBJONCTIF</x:v>
      </x:c>
      <x:c r="D52" t="str">
        <x:v>COMPLEX</x:v>
      </x:c>
      <x:c r="E52" t="n">
        <x:v>15</x:v>
      </x:c>
      <x:c r="F52" t="n">
        <x:v>30</x:v>
      </x:c>
      <x:c r="G52" t="n">
        <x:v>40</x:v>
      </x:c>
      <x:c r="H52" t="n">
        <x:v>15</x:v>
      </x:c>
      <x:c r="I52" t="n">
        <x:v>238</x:v>
      </x:c>
      <x:c r="J52" t="n">
        <x:v>36</x:v>
      </x:c>
      <x:c r="K52" t="n">
        <x:v>71</x:v>
      </x:c>
      <x:c r="L52" t="n">
        <x:v>95</x:v>
      </x:c>
      <x:c r="M52" t="n">
        <x:v>36</x:v>
      </x:c>
      <x:c r="N52" t="str">
        <x:v>AUTO_PROFILE</x:v>
      </x:c>
      <x:c r="O52" t="str">
        <x:v>PASS</x:v>
      </x:c>
    </x:row>
    <x:row r="53">
      <x:c r="A53" t="str">
        <x:v>52</x:v>
      </x:c>
      <x:c r="B53" t="str">
        <x:v>f0a5d28c-4b03-42c8-bd92-0708737ab3f1</x:v>
      </x:c>
      <x:c r="C53" t="str">
        <x:v>LES RELATIONS LOGIQUES</x:v>
      </x:c>
      <x:c r="D53" t="str">
        <x:v>COMPLEX</x:v>
      </x:c>
      <x:c r="E53" t="n">
        <x:v>15</x:v>
      </x:c>
      <x:c r="F53" t="n">
        <x:v>30</x:v>
      </x:c>
      <x:c r="G53" t="n">
        <x:v>40</x:v>
      </x:c>
      <x:c r="H53" t="n">
        <x:v>15</x:v>
      </x:c>
      <x:c r="I53" t="n">
        <x:v>237</x:v>
      </x:c>
      <x:c r="J53" t="n">
        <x:v>36</x:v>
      </x:c>
      <x:c r="K53" t="n">
        <x:v>71</x:v>
      </x:c>
      <x:c r="L53" t="n">
        <x:v>95</x:v>
      </x:c>
      <x:c r="M53" t="n">
        <x:v>35</x:v>
      </x:c>
      <x:c r="N53" t="str">
        <x:v>AUTO_PROFILE</x:v>
      </x:c>
      <x:c r="O53" t="str">
        <x:v>PASS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1" t="str">
        <x:v>schema_version</x:v>
      </x:c>
      <x:c r="B1" s="11" t="str">
        <x:v>external_id</x:v>
      </x:c>
      <x:c r="C1" s="11" t="str">
        <x:v>question_revision</x:v>
      </x:c>
      <x:c r="D1" s="11" t="str">
        <x:v>lesson_id</x:v>
      </x:c>
      <x:c r="E1" s="11" t="str">
        <x:v>lesson_code</x:v>
      </x:c>
      <x:c r="F1" s="11" t="str">
        <x:v>subtopic_id</x:v>
      </x:c>
      <x:c r="G1" s="11" t="str">
        <x:v>subtopic_code</x:v>
      </x:c>
      <x:c r="H1" s="11" t="str">
        <x:v>secondary_subtopic_ids</x:v>
      </x:c>
      <x:c r="I1" s="11" t="str">
        <x:v>question_type</x:v>
      </x:c>
      <x:c r="J1" s="11" t="str">
        <x:v>stem</x:v>
      </x:c>
      <x:c r="K1" s="11" t="str">
        <x:v>stem_locale</x:v>
      </x:c>
      <x:c r="L1" s="11" t="str">
        <x:v>option_a</x:v>
      </x:c>
      <x:c r="M1" s="11" t="str">
        <x:v>option_b</x:v>
      </x:c>
      <x:c r="N1" s="11" t="str">
        <x:v>option_c</x:v>
      </x:c>
      <x:c r="O1" s="11" t="str">
        <x:v>option_d</x:v>
      </x:c>
      <x:c r="P1" s="11" t="str">
        <x:v>option_locale</x:v>
      </x:c>
      <x:c r="Q1" s="11" t="str">
        <x:v>correct_option</x:v>
      </x:c>
      <x:c r="R1" s="11" t="str">
        <x:v>full_explanation</x:v>
      </x:c>
      <x:c r="S1" s="11" t="str">
        <x:v>explanation_a</x:v>
      </x:c>
      <x:c r="T1" s="11" t="str">
        <x:v>explanation_b</x:v>
      </x:c>
      <x:c r="U1" s="11" t="str">
        <x:v>explanation_c</x:v>
      </x:c>
      <x:c r="V1" s="11" t="str">
        <x:v>explanation_d</x:v>
      </x:c>
      <x:c r="W1" s="11" t="str">
        <x:v>explanation_locale</x:v>
      </x:c>
      <x:c r="X1" s="11" t="str">
        <x:v>misconception_a_id</x:v>
      </x:c>
      <x:c r="Y1" s="11" t="str">
        <x:v>misconception_b_id</x:v>
      </x:c>
      <x:c r="Z1" s="11" t="str">
        <x:v>misconception_c_id</x:v>
      </x:c>
      <x:c r="AA1" s="11" t="str">
        <x:v>misconception_d_id</x:v>
      </x:c>
      <x:c r="AB1" s="11" t="str">
        <x:v>difficulty</x:v>
      </x:c>
      <x:c r="AC1" s="11" t="str">
        <x:v>difficulty_score_initial</x:v>
      </x:c>
      <x:c r="AD1" s="11" t="str">
        <x:v>difficulty_model_version</x:v>
      </x:c>
      <x:c r="AE1" s="11" t="str">
        <x:v>status</x:v>
      </x:c>
      <x:c r="AF1" s="11" t="str">
        <x:v>source_type</x:v>
      </x:c>
      <x:c r="AG1" s="11" t="str">
        <x:v>source_ref</x:v>
      </x:c>
      <x:c r="AH1" s="11" t="str">
        <x:v>author_id</x:v>
      </x:c>
      <x:c r="AI1" s="11" t="str">
        <x:v>reviewer_id</x:v>
      </x:c>
      <x:c r="AJ1" s="11" t="str">
        <x:v>tags</x:v>
      </x:c>
      <x:c r="AK1" s="11" t="str">
        <x:v>media_type</x:v>
      </x:c>
      <x:c r="AL1" s="11" t="str">
        <x:v>media_uri</x:v>
      </x:c>
      <x:c r="AM1" s="11" t="str">
        <x:v>media_alt_text</x:v>
      </x:c>
      <x:c r="AN1" s="11" t="str">
        <x:v>media_transcript</x:v>
      </x:c>
      <x:c r="AO1" s="11" t="str">
        <x:v>media_source_ref</x:v>
      </x:c>
      <x:c r="AP1" s="11" t="str">
        <x:v>taxonomy_version</x:v>
      </x:c>
      <x:c r="AQ1" s="11" t="str">
        <x:v>question_type_catalogue_version</x:v>
      </x:c>
      <x:c r="AR1" s="11" t="str">
        <x:v>compatibility_version</x:v>
      </x:c>
      <x:c r="AS1" s="11" t="str">
        <x:v>distractor_rules_version</x:v>
      </x:c>
      <x:c r="AT1" s="11" t="str">
        <x:v>content_version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11" t="str">
        <x:v>Check</x:v>
      </x:c>
      <x:c r="B1" s="11" t="str">
        <x:v>Expected</x:v>
      </x:c>
      <x:c r="C1" s="11" t="str">
        <x:v>Workbook Result</x:v>
      </x:c>
    </x:row>
    <x:row r="2">
      <x:c r="A2" t="str">
        <x:v>Lessons</x:v>
      </x:c>
      <x:c r="B2" t="n">
        <x:v>52</x:v>
      </x:c>
      <x:c r="C2" t="n">
        <x:v>52</x:v>
      </x:c>
    </x:row>
    <x:row r="3">
      <x:c r="A3" t="str">
        <x:v>Subtopics</x:v>
      </x:c>
      <x:c r="B3" t="n">
        <x:v>304</x:v>
      </x:c>
      <x:c r="C3" t="n">
        <x:v>304</x:v>
      </x:c>
    </x:row>
    <x:row r="4">
      <x:c r="A4" t="str">
        <x:v>Weight total</x:v>
      </x:c>
      <x:c r="B4" t="n">
        <x:v>100</x:v>
      </x:c>
      <x:c r="C4" t="n">
        <x:f>SUM('03_Weights'!F2:F53)</x:f>
        <x:v>99.99999999999997</x:v>
      </x:c>
    </x:row>
    <x:row r="5">
      <x:c r="A5" t="str">
        <x:v>Full target</x:v>
      </x:c>
      <x:c r="B5" t="n">
        <x:v>10636</x:v>
      </x:c>
      <x:c r="C5" t="n">
        <x:f>SUM('04_Targets'!E2:E53)</x:f>
        <x:v>10636</x:v>
      </x:c>
    </x:row>
    <x:row r="6">
      <x:c r="A6" t="str">
        <x:v>Expanded target</x:v>
      </x:c>
      <x:c r="B6" t="n">
        <x:v>5331</x:v>
      </x:c>
      <x:c r="C6" t="n">
        <x:f>SUM('04_Targets'!F2:F53)</x:f>
        <x:v>5331</x:v>
      </x:c>
    </x:row>
    <x:row r="7">
      <x:c r="A7" t="str">
        <x:v>MVP target</x:v>
      </x:c>
      <x:c r="B7" t="n">
        <x:v>2666</x:v>
      </x:c>
      <x:c r="C7" t="n">
        <x:f>SUM('04_Targets'!G2:G53)</x:f>
        <x:v>2666</x:v>
      </x:c>
    </x:row>
    <x:row r="8">
      <x:c r="A8" t="str">
        <x:v>Published current</x:v>
      </x:c>
      <x:c r="B8" t="n">
        <x:v>0</x:v>
      </x:c>
      <x:c r="C8" t="n">
        <x:f>SUM('05_Inventory'!H2:H53)</x:f>
        <x:v>0</x:v>
      </x:c>
    </x:row>
    <x:row r="9">
      <x:c r="A9" t="str">
        <x:v>Stage9 Easy full</x:v>
      </x:c>
      <x:c r="B9" t="n">
        <x:v>2180</x:v>
      </x:c>
      <x:c r="C9" t="n">
        <x:f>SUM('06_Difficulty_Targets'!J2:J53)</x:f>
        <x:v>2180</x:v>
      </x:c>
    </x:row>
    <x:row r="10">
      <x:c r="A10" t="str">
        <x:v>Stage9 Medium full</x:v>
      </x:c>
      <x:c r="B10" t="n">
        <x:v>4116</x:v>
      </x:c>
      <x:c r="C10" t="n">
        <x:f>SUM('06_Difficulty_Targets'!K2:K53)</x:f>
        <x:v>4116</x:v>
      </x:c>
    </x:row>
    <x:row r="11">
      <x:c r="A11" t="str">
        <x:v>Stage9 Hard full</x:v>
      </x:c>
      <x:c r="B11" t="n">
        <x:v>3203</x:v>
      </x:c>
      <x:c r="C11" t="n">
        <x:f>SUM('06_Difficulty_Targets'!L2:L53)</x:f>
        <x:v>3203</x:v>
      </x:c>
    </x:row>
    <x:row r="12">
      <x:c r="A12" t="str">
        <x:v>Stage9 Very Hard full</x:v>
      </x:c>
      <x:c r="B12" t="n">
        <x:v>1137</x:v>
      </x:c>
      <x:c r="C12" t="n">
        <x:f>SUM('06_Difficulty_Targets'!M2:M53)</x:f>
        <x:v>1137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4" hidden="0" customWidth="1"/>
    <x:col min="4" max="4" width="14" hidden="0" customWidth="1"/>
  </x:cols>
  <x:sheetData>
    <x:row r="1">
      <x:c r="A1" s="11" t="str">
        <x:v>Question Type</x:v>
      </x:c>
      <x:c r="B1" s="11" t="str">
        <x:v>Difficulty</x:v>
      </x:c>
      <x:c r="C1" s="11" t="str">
        <x:v>Status</x:v>
      </x:c>
      <x:c r="D1" s="11" t="str">
        <x:v>Locale</x:v>
      </x:c>
    </x:row>
    <x:row r="2">
      <x:c r="A2" t="str">
        <x:v>CLOZE_SINGLE</x:v>
      </x:c>
      <x:c r="B2" t="str">
        <x:v>EASY</x:v>
      </x:c>
      <x:c r="C2" t="str">
        <x:v>DRAFT</x:v>
      </x:c>
      <x:c r="D2" t="str">
        <x:v>fr-FR</x:v>
      </x:c>
    </x:row>
    <x:row r="3">
      <x:c r="A3" t="str">
        <x:v>CLOZE_CONTEXT</x:v>
      </x:c>
      <x:c r="B3" t="str">
        <x:v>MEDIUM</x:v>
      </x:c>
      <x:c r="C3" t="str">
        <x:v>READY_FOR_REVIEW</x:v>
      </x:c>
      <x:c r="D3" t="str">
        <x:v>fa-IR</x:v>
      </x:c>
    </x:row>
    <x:row r="4">
      <x:c r="A4" t="str">
        <x:v>CORRECT_SENTENCE</x:v>
      </x:c>
      <x:c r="B4" t="str">
        <x:v>HARD</x:v>
      </x:c>
      <x:c r="C4" t="str">
        <x:v>CHANGES_REQUESTED</x:v>
      </x:c>
      <x:c r="D4" t="str"/>
    </x:row>
    <x:row r="5">
      <x:c r="A5" t="str">
        <x:v>INCORRECT_SENTENCE</x:v>
      </x:c>
      <x:c r="B5" t="str">
        <x:v>VERY_HARD</x:v>
      </x:c>
      <x:c r="C5" t="str">
        <x:v>APPROVED</x:v>
      </x:c>
      <x:c r="D5" t="str"/>
    </x:row>
    <x:row r="6">
      <x:c r="A6" t="str">
        <x:v>ERROR_LOCATION</x:v>
      </x:c>
      <x:c r="B6" t="str"/>
      <x:c r="C6" t="str">
        <x:v>PUBLISHED</x:v>
      </x:c>
      <x:c r="D6" t="str"/>
    </x:row>
    <x:row r="7">
      <x:c r="A7" t="str">
        <x:v>CONJUGATION</x:v>
      </x:c>
      <x:c r="B7" t="str"/>
      <x:c r="C7" t="str">
        <x:v>REJECTED</x:v>
      </x:c>
      <x:c r="D7" t="str"/>
    </x:row>
    <x:row r="8">
      <x:c r="A8" t="str">
        <x:v>TENSE_CHOICE</x:v>
      </x:c>
      <x:c r="B8" t="str"/>
      <x:c r="C8" t="str">
        <x:v>RETIRED</x:v>
      </x:c>
      <x:c r="D8" t="str"/>
    </x:row>
    <x:row r="9">
      <x:c r="A9" t="str">
        <x:v>PRONOUN_CHOICE</x:v>
      </x:c>
      <x:c r="B9" t="str"/>
      <x:c r="C9" t="str"/>
      <x:c r="D9" t="str"/>
    </x:row>
    <x:row r="10">
      <x:c r="A10" t="str">
        <x:v>PREPOSITION_CHOICE</x:v>
      </x:c>
      <x:c r="B10" t="str"/>
      <x:c r="C10" t="str"/>
      <x:c r="D10" t="str"/>
    </x:row>
    <x:row r="11">
      <x:c r="A11" t="str">
        <x:v>REWRITE_EQUIV</x:v>
      </x:c>
      <x:c r="B11" t="str"/>
      <x:c r="C11" t="str"/>
      <x:c r="D11" t="str"/>
    </x:row>
    <x:row r="12">
      <x:c r="A12" t="str">
        <x:v>FR_TO_FA</x:v>
      </x:c>
      <x:c r="B12" t="str"/>
      <x:c r="C12" t="str"/>
      <x:c r="D12" t="str"/>
    </x:row>
    <x:row r="13">
      <x:c r="A13" t="str">
        <x:v>FA_TO_FR</x:v>
      </x:c>
      <x:c r="B13" t="str"/>
      <x:c r="C13" t="str"/>
      <x:c r="D13" t="str"/>
    </x:row>
    <x:row r="14">
      <x:c r="A14" t="str">
        <x:v>DIALOGUE_COMPLETE</x:v>
      </x:c>
      <x:c r="B14" t="str"/>
      <x:c r="C14" t="str"/>
      <x:c r="D14" t="str"/>
    </x:row>
    <x:row r="15">
      <x:c r="A15" t="str">
        <x:v>REGISTER_CHOICE</x:v>
      </x:c>
      <x:c r="B15" t="str"/>
      <x:c r="C15" t="str"/>
      <x:c r="D15" t="str"/>
    </x:row>
    <x:row r="16">
      <x:c r="A16" t="str">
        <x:v>CONTRAST_RULES</x:v>
      </x:c>
      <x:c r="B16" t="str"/>
      <x:c r="C16" t="str"/>
      <x:c r="D16" t="str"/>
    </x:row>
  </x:sheetData>
  <x:pageMargins left="0.7" right="0.7" top="0.75" bottom="0.75" header="0.3" footer="0.3"/>
</x:worksheet>
</file>